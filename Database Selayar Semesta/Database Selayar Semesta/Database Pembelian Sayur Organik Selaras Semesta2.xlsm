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/>
  <bookViews>
    <workbookView xWindow="-15" yWindow="4830" windowWidth="18270" windowHeight="4875" firstSheet="2" activeTab="9"/>
  </bookViews>
  <sheets>
    <sheet name="DaftarKontak" sheetId="5" r:id="rId1"/>
    <sheet name="Input" sheetId="2" r:id="rId2"/>
    <sheet name="PartsData" sheetId="1" r:id="rId3"/>
    <sheet name="InputLinks" sheetId="9" state="hidden" r:id="rId4"/>
    <sheet name="SelRecordLinks" sheetId="11" state="hidden" r:id="rId5"/>
    <sheet name="CariData" sheetId="12" r:id="rId6"/>
    <sheet name="InputStok" sheetId="13" r:id="rId7"/>
    <sheet name="List" sheetId="14" r:id="rId8"/>
    <sheet name="Data Stok" sheetId="15" r:id="rId9"/>
    <sheet name="InputPemesanan" sheetId="16" r:id="rId10"/>
    <sheet name="DataPemesanan" sheetId="17" r:id="rId11"/>
    <sheet name="LihatPemesanan" sheetId="18" r:id="rId12"/>
  </sheets>
  <definedNames>
    <definedName name="_xlnm._FilterDatabase" localSheetId="10" hidden="1">DataPemesanan!$B$1:$AR$21</definedName>
    <definedName name="_xlnm._FilterDatabase" localSheetId="2" hidden="1">PartsData!$C$1:$P$27</definedName>
    <definedName name="Bulan">List!$A$1:$A$12</definedName>
    <definedName name="CariPembeli">DaftarKontak!$P$2:INDEX(DaftarKontak!$P$2:$P$201,COUNTIF(DaftarKontak!$P$2:$P$201,"?*"))</definedName>
    <definedName name="CheckID">Input!$R$5</definedName>
    <definedName name="_xlnm.Criteria" localSheetId="5">CariData!$B$3:$D$4</definedName>
    <definedName name="_xlnm.Criteria" localSheetId="11">LihatPemesanan!$B$3:$E$4</definedName>
    <definedName name="CurrRec">Input!$S$6</definedName>
    <definedName name="DaftarKontak">OFFSET(DaftarKontak!$A$1,1,0,COUNTA(DaftarKontak!$A:$A)-1,1)</definedName>
    <definedName name="DaftarPembeli">OFFSET(PartsData!$E$1,1,0,COUNTA(PartsData!$E:$E)-1,1)</definedName>
    <definedName name="DataPembeli">OFFSET(PartsData!$C$1,0,0,COUNTA(PartsData!$C:$C),COUNTA(PartsData!$1:$1))</definedName>
    <definedName name="DataPemesanan">OFFSET(DataPemesanan!$B$1,0,0,COUNTA(DataPemesanan!$B:$B),COUNTIF(DataPemesanan!$B$1:$AZ$1,"?*"))</definedName>
    <definedName name="DataPemesanan1">OFFSET(DataPemesanan!$B$1,0,0,COUNTA(DataPemesanan!$B:$B),COUNTIF(DataPemesanan!$B$1:$AZ$1,"?*"))</definedName>
    <definedName name="DataRekapPembeli">DaftarKontak!$Y$2:INDEX(DaftarKontak!$Y$2:$Y$201,COUNTIF(DaftarKontak!$Y$2:$Y$201,"?*"))</definedName>
    <definedName name="DataRekapPembeli1">DaftarKontak!$AA$2:INDEX(DaftarKontak!$AA$2:$AA$201,COUNTIF(DaftarKontak!$AA$2:$AA$201,"?*"))</definedName>
    <definedName name="DB_Row">SelRecordLinks!$C$1</definedName>
    <definedName name="_xlnm.Extract" localSheetId="5">CariData!$B$9:$M$9</definedName>
    <definedName name="_xlnm.Extract" localSheetId="11">LihatPemesanan!$B$9:$AR$9</definedName>
    <definedName name="HP">DaftarKontak!$I$1</definedName>
    <definedName name="HPKontak">OFFSET(DaftarKontak!$B$1,1,0,COUNTA(DaftarKontak!$B:$B)-1,1)</definedName>
    <definedName name="IDPembeli">Input!$D$7</definedName>
    <definedName name="InputA">Input!$D$5:$D$16</definedName>
    <definedName name="InputB">Input!$J$5:$J$7</definedName>
    <definedName name="InputCopy">InputLinks!$A$6:$L$6</definedName>
    <definedName name="JK">DaftarKontak!$G$1:$G$2</definedName>
    <definedName name="ListCariPembeli">DaftarKontak!$N$2:INDEX(DaftarKontak!$N$2:$N$201,COUNTIF(DaftarKontak!$N$2:$N$201,"?*"))</definedName>
    <definedName name="ListNamaPembeli">DaftarKontak!$T$2:INDEX(DaftarKontak!$T$2:$T$201,COUNTIF(DaftarKontak!$T$2:$T$201,"?*"))</definedName>
    <definedName name="ListPembeli">DaftarKontak!$J$2:INDEX(DaftarKontak!$J$2:$J$201,COUNTIF(DaftarKontak!$J$2:$J$201,"?*"))</definedName>
    <definedName name="MandFields">InputLinks!$C$2</definedName>
    <definedName name="NamaPembeli">DaftarKontak!$L$2:INDEX(DaftarKontak!$L$2:$L$201,COUNTIF(DaftarKontak!$L$2:$L$201,"?*"))</definedName>
    <definedName name="OrderEntry">Input!$D$5:$D$16</definedName>
    <definedName name="OrderID">Input!$D$5</definedName>
    <definedName name="OrderIDList">OFFSET(PartsData!$C$1,1,0,COUNTA(PartsData!$C:$C)-1,1)</definedName>
    <definedName name="OrderSel">Input!$J$5</definedName>
    <definedName name="PartLU">OFFSET(PartList,,,,2)</definedName>
    <definedName name="PartsDatabase">OFFSET(PartsData!$A$1,0,0,COUNTA(PartsData!$A:$A),COUNTA(PartsData!$1:$1))</definedName>
    <definedName name="PartsDatabase1">OFFSET(PartsData!$A$2,0,0,COUNTA(PartsData!$A:$A),COUNTA(PartsData!$1:$1))</definedName>
    <definedName name="Pembeli">DaftarKontak!$V$2:INDEX(DaftarKontak!$V$2:$V$201,COUNTIF(DaftarKontak!$V$2:$V$201,"?*"))</definedName>
    <definedName name="PilihPembeli">Input!$J$6</definedName>
    <definedName name="RekapKontak">OFFSET(DataPemesanan!$E$1,1,0,COUNTA(DataPemesanan!$E:$E)-1,1)</definedName>
    <definedName name="RekapPembeli">OFFSET(DataPemesanan!$F$1,1,0,COUNTA(DataPemesanan!$F:$F)-1,1)</definedName>
    <definedName name="SelRec">Input!$S$5</definedName>
    <definedName name="SelValA">SelRecordLinks!$D$4:$D$15</definedName>
    <definedName name="StartCol">InputLinks!$A$2</definedName>
    <definedName name="Status">DaftarKontak!$H$1:$H$2</definedName>
    <definedName name="TanggalPanen">OFFSET('Data Stok'!$C$1,1,0,COUNTA('Data Stok'!$C:$C)-1,1)</definedName>
  </definedNames>
  <calcPr calcId="124519"/>
</workbook>
</file>

<file path=xl/calcChain.xml><?xml version="1.0" encoding="utf-8"?>
<calcChain xmlns="http://schemas.openxmlformats.org/spreadsheetml/2006/main">
  <c r="BG5" i="18"/>
  <c r="BF5"/>
  <c r="BE5"/>
  <c r="BD5"/>
  <c r="BC5"/>
  <c r="BB5"/>
  <c r="BA6"/>
  <c r="BG4"/>
  <c r="BF4"/>
  <c r="BE4"/>
  <c r="BD4"/>
  <c r="BC4"/>
  <c r="BB4"/>
  <c r="BA5"/>
  <c r="BG3"/>
  <c r="BF3"/>
  <c r="BE3"/>
  <c r="BD3"/>
  <c r="BC3"/>
  <c r="BB3"/>
  <c r="BA4"/>
  <c r="BG2"/>
  <c r="BF2"/>
  <c r="BE2"/>
  <c r="BD2"/>
  <c r="BC2"/>
  <c r="BB2"/>
  <c r="BA3"/>
  <c r="BA2"/>
  <c r="AY2"/>
  <c r="H1" i="17"/>
  <c r="I1"/>
  <c r="J1"/>
  <c r="K1"/>
  <c r="L1"/>
  <c r="M1"/>
  <c r="N1"/>
  <c r="O1"/>
  <c r="P1"/>
  <c r="Q1"/>
  <c r="R1"/>
  <c r="S1"/>
  <c r="T1"/>
  <c r="U1"/>
  <c r="V1"/>
  <c r="W1"/>
  <c r="X1"/>
  <c r="Y1"/>
  <c r="Z1"/>
  <c r="AA1"/>
  <c r="AB1"/>
  <c r="AC1"/>
  <c r="AD1"/>
  <c r="AE1"/>
  <c r="AF1"/>
  <c r="AG1"/>
  <c r="AH1"/>
  <c r="AI1"/>
  <c r="AJ1"/>
  <c r="AK1"/>
  <c r="AL1"/>
  <c r="AM1"/>
  <c r="AN1"/>
  <c r="AO1"/>
  <c r="AP1"/>
  <c r="AQ1"/>
  <c r="AR1"/>
  <c r="AS1"/>
  <c r="AT1"/>
  <c r="AU1"/>
  <c r="AV1"/>
  <c r="AW1"/>
  <c r="AX1"/>
  <c r="AY1"/>
  <c r="AZ1"/>
  <c r="G1"/>
  <c r="X2" i="5" l="1"/>
  <c r="Y9" s="1" a="1"/>
  <c r="Y9" s="1"/>
  <c r="Y2" l="1" a="1"/>
  <c r="Y2" s="1"/>
  <c r="Y194" a="1"/>
  <c r="Y194" s="1"/>
  <c r="Z194" s="1"/>
  <c r="AA194" s="1"/>
  <c r="Y186" a="1"/>
  <c r="Y186" s="1"/>
  <c r="Z186" s="1"/>
  <c r="AA186" s="1"/>
  <c r="Y178" a="1"/>
  <c r="Y178" s="1"/>
  <c r="Z178" s="1"/>
  <c r="AA178" s="1"/>
  <c r="Y170" a="1"/>
  <c r="Y170" s="1"/>
  <c r="Z170" s="1"/>
  <c r="AA170" s="1"/>
  <c r="Y162" a="1"/>
  <c r="Y162" s="1"/>
  <c r="Z162" s="1"/>
  <c r="AA162" s="1"/>
  <c r="Y154" a="1"/>
  <c r="Y154" s="1"/>
  <c r="Z154" s="1"/>
  <c r="AA154" s="1"/>
  <c r="Y146" a="1"/>
  <c r="Y146" s="1"/>
  <c r="Z146" s="1"/>
  <c r="AA146" s="1"/>
  <c r="Y138" a="1"/>
  <c r="Y138" s="1"/>
  <c r="Z138" s="1"/>
  <c r="AA138" s="1"/>
  <c r="Y130" a="1"/>
  <c r="Y130" s="1"/>
  <c r="Z130" s="1"/>
  <c r="AA130" s="1"/>
  <c r="Y122" a="1"/>
  <c r="Y122" s="1"/>
  <c r="Z122" s="1"/>
  <c r="AA122" s="1"/>
  <c r="Y114" a="1"/>
  <c r="Y114" s="1"/>
  <c r="Z114" s="1"/>
  <c r="AA114" s="1"/>
  <c r="Y106" a="1"/>
  <c r="Y106" s="1"/>
  <c r="Z106" s="1"/>
  <c r="AA106" s="1"/>
  <c r="Y98" a="1"/>
  <c r="Y98" s="1"/>
  <c r="Z98" s="1"/>
  <c r="AA98" s="1"/>
  <c r="Y90" a="1"/>
  <c r="Y90" s="1"/>
  <c r="Z90" s="1"/>
  <c r="AA90" s="1"/>
  <c r="Y82" a="1"/>
  <c r="Y82" s="1"/>
  <c r="Z82" s="1"/>
  <c r="AA82" s="1"/>
  <c r="Y74" a="1"/>
  <c r="Y74" s="1"/>
  <c r="Z74" s="1"/>
  <c r="AA74" s="1"/>
  <c r="Y66" a="1"/>
  <c r="Y66" s="1"/>
  <c r="Z66" s="1"/>
  <c r="AA66" s="1"/>
  <c r="Y58" a="1"/>
  <c r="Y58" s="1"/>
  <c r="Z58" s="1"/>
  <c r="AA58" s="1"/>
  <c r="Y50" a="1"/>
  <c r="Y50" s="1"/>
  <c r="Z50" s="1"/>
  <c r="AA50" s="1"/>
  <c r="Y42" a="1"/>
  <c r="Y42" s="1"/>
  <c r="Z42" s="1"/>
  <c r="AA42" s="1"/>
  <c r="Y34" a="1"/>
  <c r="Y34" s="1"/>
  <c r="Z34" s="1"/>
  <c r="AA34" s="1"/>
  <c r="Y26" a="1"/>
  <c r="Y26" s="1"/>
  <c r="Z26" s="1"/>
  <c r="AA26" s="1"/>
  <c r="Y18" a="1"/>
  <c r="Y18" s="1"/>
  <c r="Z18" s="1"/>
  <c r="AA18" s="1"/>
  <c r="Y10" a="1"/>
  <c r="Y10" s="1"/>
  <c r="Z10" s="1"/>
  <c r="AA10" s="1"/>
  <c r="Y195" a="1"/>
  <c r="Y195" s="1"/>
  <c r="Z195" s="1"/>
  <c r="AA195" s="1"/>
  <c r="Y187" a="1"/>
  <c r="Y187" s="1"/>
  <c r="Z187" s="1"/>
  <c r="AA187" s="1"/>
  <c r="Y179" a="1"/>
  <c r="Y179" s="1"/>
  <c r="Z179" s="1"/>
  <c r="AA179" s="1"/>
  <c r="Y171" a="1"/>
  <c r="Y171" s="1"/>
  <c r="Z171" s="1"/>
  <c r="AA171" s="1"/>
  <c r="Y163" a="1"/>
  <c r="Y163" s="1"/>
  <c r="Z163" s="1"/>
  <c r="AA163" s="1"/>
  <c r="Y155" a="1"/>
  <c r="Y155" s="1"/>
  <c r="Z155" s="1"/>
  <c r="AA155" s="1"/>
  <c r="Y147" a="1"/>
  <c r="Y147" s="1"/>
  <c r="Z147" s="1"/>
  <c r="AA147" s="1"/>
  <c r="Y139" a="1"/>
  <c r="Y139" s="1"/>
  <c r="Z139" s="1"/>
  <c r="AA139" s="1"/>
  <c r="Y131" a="1"/>
  <c r="Y131" s="1"/>
  <c r="Z131" s="1"/>
  <c r="AA131" s="1"/>
  <c r="Y123" a="1"/>
  <c r="Y123" s="1"/>
  <c r="Z123" s="1"/>
  <c r="AA123" s="1"/>
  <c r="Y115" a="1"/>
  <c r="Y115" s="1"/>
  <c r="Z115" s="1"/>
  <c r="AA115" s="1"/>
  <c r="Y107" a="1"/>
  <c r="Y107" s="1"/>
  <c r="Z107" s="1"/>
  <c r="AA107" s="1"/>
  <c r="Y99" a="1"/>
  <c r="Y99" s="1"/>
  <c r="Z99" s="1"/>
  <c r="AA99" s="1"/>
  <c r="Y91" a="1"/>
  <c r="Y91" s="1"/>
  <c r="Z91" s="1"/>
  <c r="AA91" s="1"/>
  <c r="Y83" a="1"/>
  <c r="Y83" s="1"/>
  <c r="Z83" s="1"/>
  <c r="AA83" s="1"/>
  <c r="Y75" a="1"/>
  <c r="Y75" s="1"/>
  <c r="Z75" s="1"/>
  <c r="AA75" s="1"/>
  <c r="Y67" a="1"/>
  <c r="Y67" s="1"/>
  <c r="Z67" s="1"/>
  <c r="AA67" s="1"/>
  <c r="Y59" a="1"/>
  <c r="Y59" s="1"/>
  <c r="Z59" s="1"/>
  <c r="AA59" s="1"/>
  <c r="Y51" a="1"/>
  <c r="Y51" s="1"/>
  <c r="Z51" s="1"/>
  <c r="AA51" s="1"/>
  <c r="Y43" a="1"/>
  <c r="Y43" s="1"/>
  <c r="Z43" s="1"/>
  <c r="AA43" s="1"/>
  <c r="Y35" a="1"/>
  <c r="Y35" s="1"/>
  <c r="Z35" s="1"/>
  <c r="AA35" s="1"/>
  <c r="Y27" a="1"/>
  <c r="Y27" s="1"/>
  <c r="Z27" s="1"/>
  <c r="AA27" s="1"/>
  <c r="Y19" a="1"/>
  <c r="Y19" s="1"/>
  <c r="Z19" s="1"/>
  <c r="AA19" s="1"/>
  <c r="Y11" a="1"/>
  <c r="Y11" s="1"/>
  <c r="Z11" s="1"/>
  <c r="AA11" s="1"/>
  <c r="Y3" a="1"/>
  <c r="Y3" s="1"/>
  <c r="Y196" a="1"/>
  <c r="Y196" s="1"/>
  <c r="Z196" s="1"/>
  <c r="AA196" s="1"/>
  <c r="Y188" a="1"/>
  <c r="Y188" s="1"/>
  <c r="Z188" s="1"/>
  <c r="AA188" s="1"/>
  <c r="Y180" a="1"/>
  <c r="Y180" s="1"/>
  <c r="Z180" s="1"/>
  <c r="AA180" s="1"/>
  <c r="Y172" a="1"/>
  <c r="Y172" s="1"/>
  <c r="Z172" s="1"/>
  <c r="AA172" s="1"/>
  <c r="Y164" a="1"/>
  <c r="Y164" s="1"/>
  <c r="Z164" s="1"/>
  <c r="AA164" s="1"/>
  <c r="Y156" a="1"/>
  <c r="Y156" s="1"/>
  <c r="Z156" s="1"/>
  <c r="AA156" s="1"/>
  <c r="Y148" a="1"/>
  <c r="Y148" s="1"/>
  <c r="Z148" s="1"/>
  <c r="AA148" s="1"/>
  <c r="Y140" a="1"/>
  <c r="Y140" s="1"/>
  <c r="Z140" s="1"/>
  <c r="AA140" s="1"/>
  <c r="Y132" a="1"/>
  <c r="Y132" s="1"/>
  <c r="Z132" s="1"/>
  <c r="AA132" s="1"/>
  <c r="Y124" a="1"/>
  <c r="Y124" s="1"/>
  <c r="Z124" s="1"/>
  <c r="AA124" s="1"/>
  <c r="Y116" a="1"/>
  <c r="Y116" s="1"/>
  <c r="Z116" s="1"/>
  <c r="AA116" s="1"/>
  <c r="Y108" a="1"/>
  <c r="Y108" s="1"/>
  <c r="Z108" s="1"/>
  <c r="AA108" s="1"/>
  <c r="Y100" a="1"/>
  <c r="Y100" s="1"/>
  <c r="Z100" s="1"/>
  <c r="AA100" s="1"/>
  <c r="Y92" a="1"/>
  <c r="Y92" s="1"/>
  <c r="Z92" s="1"/>
  <c r="AA92" s="1"/>
  <c r="Y84" a="1"/>
  <c r="Y84" s="1"/>
  <c r="Z84" s="1"/>
  <c r="AA84" s="1"/>
  <c r="Y76" a="1"/>
  <c r="Y76" s="1"/>
  <c r="Z76" s="1"/>
  <c r="AA76" s="1"/>
  <c r="Y68" a="1"/>
  <c r="Y68" s="1"/>
  <c r="Z68" s="1"/>
  <c r="AA68" s="1"/>
  <c r="Y60" a="1"/>
  <c r="Y60" s="1"/>
  <c r="Z60" s="1"/>
  <c r="AA60" s="1"/>
  <c r="Y52" a="1"/>
  <c r="Y52" s="1"/>
  <c r="Z52" s="1"/>
  <c r="AA52" s="1"/>
  <c r="Y44" a="1"/>
  <c r="Y44" s="1"/>
  <c r="Z44" s="1"/>
  <c r="AA44" s="1"/>
  <c r="Y36" a="1"/>
  <c r="Y36" s="1"/>
  <c r="Z36" s="1"/>
  <c r="AA36" s="1"/>
  <c r="Y28" a="1"/>
  <c r="Y28" s="1"/>
  <c r="Z28" s="1"/>
  <c r="AA28" s="1"/>
  <c r="Y20" a="1"/>
  <c r="Y20" s="1"/>
  <c r="Z20" s="1"/>
  <c r="AA20" s="1"/>
  <c r="Y12" a="1"/>
  <c r="Y12" s="1"/>
  <c r="Z12" s="1"/>
  <c r="AA12" s="1"/>
  <c r="Y4" a="1"/>
  <c r="Y4" s="1"/>
  <c r="Y197" a="1"/>
  <c r="Y197" s="1"/>
  <c r="Z197" s="1"/>
  <c r="AA197" s="1"/>
  <c r="Y189" a="1"/>
  <c r="Y189" s="1"/>
  <c r="Z189" s="1"/>
  <c r="AA189" s="1"/>
  <c r="Y181" a="1"/>
  <c r="Y181" s="1"/>
  <c r="Z181" s="1"/>
  <c r="AA181" s="1"/>
  <c r="Y173" a="1"/>
  <c r="Y173" s="1"/>
  <c r="Z173" s="1"/>
  <c r="AA173" s="1"/>
  <c r="Y165" a="1"/>
  <c r="Y165" s="1"/>
  <c r="Z165" s="1"/>
  <c r="AA165" s="1"/>
  <c r="Y157" a="1"/>
  <c r="Y157" s="1"/>
  <c r="Z157" s="1"/>
  <c r="AA157" s="1"/>
  <c r="Y149" a="1"/>
  <c r="Y149" s="1"/>
  <c r="Z149" s="1"/>
  <c r="AA149" s="1"/>
  <c r="Y141" a="1"/>
  <c r="Y141" s="1"/>
  <c r="Z141" s="1"/>
  <c r="AA141" s="1"/>
  <c r="Y133" a="1"/>
  <c r="Y133" s="1"/>
  <c r="Z133" s="1"/>
  <c r="AA133" s="1"/>
  <c r="Y125" a="1"/>
  <c r="Y125" s="1"/>
  <c r="Z125" s="1"/>
  <c r="AA125" s="1"/>
  <c r="Y117" a="1"/>
  <c r="Y117" s="1"/>
  <c r="Z117" s="1"/>
  <c r="AA117" s="1"/>
  <c r="Y109" a="1"/>
  <c r="Y109" s="1"/>
  <c r="Z109" s="1"/>
  <c r="AA109" s="1"/>
  <c r="Y101" a="1"/>
  <c r="Y101" s="1"/>
  <c r="Z101" s="1"/>
  <c r="AA101" s="1"/>
  <c r="Y93" a="1"/>
  <c r="Y93" s="1"/>
  <c r="Z93" s="1"/>
  <c r="AA93" s="1"/>
  <c r="Y85" a="1"/>
  <c r="Y85" s="1"/>
  <c r="Z85" s="1"/>
  <c r="AA85" s="1"/>
  <c r="Y77" a="1"/>
  <c r="Y77" s="1"/>
  <c r="Z77" s="1"/>
  <c r="AA77" s="1"/>
  <c r="Y69" a="1"/>
  <c r="Y69" s="1"/>
  <c r="Z69" s="1"/>
  <c r="AA69" s="1"/>
  <c r="Y61" a="1"/>
  <c r="Y61" s="1"/>
  <c r="Z61" s="1"/>
  <c r="AA61" s="1"/>
  <c r="Y53" a="1"/>
  <c r="Y53" s="1"/>
  <c r="Z53" s="1"/>
  <c r="AA53" s="1"/>
  <c r="Y45" a="1"/>
  <c r="Y45" s="1"/>
  <c r="Z45" s="1"/>
  <c r="AA45" s="1"/>
  <c r="Y37" a="1"/>
  <c r="Y37" s="1"/>
  <c r="Z37" s="1"/>
  <c r="AA37" s="1"/>
  <c r="Y29" a="1"/>
  <c r="Y29" s="1"/>
  <c r="Z29" s="1"/>
  <c r="AA29" s="1"/>
  <c r="Y21" a="1"/>
  <c r="Y21" s="1"/>
  <c r="Z21" s="1"/>
  <c r="AA21" s="1"/>
  <c r="Y13" a="1"/>
  <c r="Y13" s="1"/>
  <c r="Z13" s="1"/>
  <c r="AA13" s="1"/>
  <c r="Y5" a="1"/>
  <c r="Y5" s="1"/>
  <c r="Y198" a="1"/>
  <c r="Y198" s="1"/>
  <c r="Z198" s="1"/>
  <c r="AA198" s="1"/>
  <c r="Y190" a="1"/>
  <c r="Y190" s="1"/>
  <c r="Z190" s="1"/>
  <c r="AA190" s="1"/>
  <c r="Y182" a="1"/>
  <c r="Y182" s="1"/>
  <c r="Z182" s="1"/>
  <c r="AA182" s="1"/>
  <c r="Y174" a="1"/>
  <c r="Y174" s="1"/>
  <c r="Z174" s="1"/>
  <c r="AA174" s="1"/>
  <c r="Y166" a="1"/>
  <c r="Y166" s="1"/>
  <c r="Z166" s="1"/>
  <c r="AA166" s="1"/>
  <c r="Y158" a="1"/>
  <c r="Y158" s="1"/>
  <c r="Z158" s="1"/>
  <c r="AA158" s="1"/>
  <c r="Y150" a="1"/>
  <c r="Y150" s="1"/>
  <c r="Z150" s="1"/>
  <c r="AA150" s="1"/>
  <c r="Y142" a="1"/>
  <c r="Y142" s="1"/>
  <c r="Z142" s="1"/>
  <c r="AA142" s="1"/>
  <c r="Y134" a="1"/>
  <c r="Y134" s="1"/>
  <c r="Z134" s="1"/>
  <c r="AA134" s="1"/>
  <c r="Y126" a="1"/>
  <c r="Y126" s="1"/>
  <c r="Z126" s="1"/>
  <c r="AA126" s="1"/>
  <c r="Y118" a="1"/>
  <c r="Y118" s="1"/>
  <c r="Z118" s="1"/>
  <c r="AA118" s="1"/>
  <c r="Y110" a="1"/>
  <c r="Y110" s="1"/>
  <c r="Z110" s="1"/>
  <c r="AA110" s="1"/>
  <c r="Y102" a="1"/>
  <c r="Y102" s="1"/>
  <c r="Z102" s="1"/>
  <c r="AA102" s="1"/>
  <c r="Y94" a="1"/>
  <c r="Y94" s="1"/>
  <c r="Z94" s="1"/>
  <c r="AA94" s="1"/>
  <c r="Y86" a="1"/>
  <c r="Y86" s="1"/>
  <c r="Z86" s="1"/>
  <c r="AA86" s="1"/>
  <c r="Y78" a="1"/>
  <c r="Y78" s="1"/>
  <c r="Z78" s="1"/>
  <c r="AA78" s="1"/>
  <c r="Y70" a="1"/>
  <c r="Y70" s="1"/>
  <c r="Z70" s="1"/>
  <c r="AA70" s="1"/>
  <c r="Y62" a="1"/>
  <c r="Y62" s="1"/>
  <c r="Z62" s="1"/>
  <c r="AA62" s="1"/>
  <c r="Y54" a="1"/>
  <c r="Y54" s="1"/>
  <c r="Z54" s="1"/>
  <c r="AA54" s="1"/>
  <c r="Y46" a="1"/>
  <c r="Y46" s="1"/>
  <c r="Z46" s="1"/>
  <c r="AA46" s="1"/>
  <c r="Y38" a="1"/>
  <c r="Y38" s="1"/>
  <c r="Z38" s="1"/>
  <c r="AA38" s="1"/>
  <c r="Y30" a="1"/>
  <c r="Y30" s="1"/>
  <c r="Z30" s="1"/>
  <c r="AA30" s="1"/>
  <c r="Y22" a="1"/>
  <c r="Y22" s="1"/>
  <c r="Z22" s="1"/>
  <c r="AA22" s="1"/>
  <c r="Y14" a="1"/>
  <c r="Y14" s="1"/>
  <c r="Z14" s="1"/>
  <c r="AA14" s="1"/>
  <c r="Y6" a="1"/>
  <c r="Y6" s="1"/>
  <c r="Y199" a="1"/>
  <c r="Y199" s="1"/>
  <c r="Z199" s="1"/>
  <c r="AA199" s="1"/>
  <c r="Y191" a="1"/>
  <c r="Y191" s="1"/>
  <c r="Z191" s="1"/>
  <c r="AA191" s="1"/>
  <c r="Y183" a="1"/>
  <c r="Y183" s="1"/>
  <c r="Z183" s="1"/>
  <c r="AA183" s="1"/>
  <c r="Y175" a="1"/>
  <c r="Y175" s="1"/>
  <c r="Z175" s="1"/>
  <c r="AA175" s="1"/>
  <c r="Y167" a="1"/>
  <c r="Y167" s="1"/>
  <c r="Z167" s="1"/>
  <c r="AA167" s="1"/>
  <c r="Y159" a="1"/>
  <c r="Y159" s="1"/>
  <c r="Z159" s="1"/>
  <c r="AA159" s="1"/>
  <c r="Y151" a="1"/>
  <c r="Y151" s="1"/>
  <c r="Z151" s="1"/>
  <c r="AA151" s="1"/>
  <c r="Y143" a="1"/>
  <c r="Y143" s="1"/>
  <c r="Z143" s="1"/>
  <c r="AA143" s="1"/>
  <c r="Y135" a="1"/>
  <c r="Y135" s="1"/>
  <c r="Z135" s="1"/>
  <c r="AA135" s="1"/>
  <c r="Y127" a="1"/>
  <c r="Y127" s="1"/>
  <c r="Z127" s="1"/>
  <c r="AA127" s="1"/>
  <c r="Y119" a="1"/>
  <c r="Y119" s="1"/>
  <c r="Z119" s="1"/>
  <c r="AA119" s="1"/>
  <c r="Y111" a="1"/>
  <c r="Y111" s="1"/>
  <c r="Z111" s="1"/>
  <c r="AA111" s="1"/>
  <c r="Y103" a="1"/>
  <c r="Y103" s="1"/>
  <c r="Z103" s="1"/>
  <c r="AA103" s="1"/>
  <c r="Y95" a="1"/>
  <c r="Y95" s="1"/>
  <c r="Z95" s="1"/>
  <c r="AA95" s="1"/>
  <c r="Y87" a="1"/>
  <c r="Y87" s="1"/>
  <c r="Z87" s="1"/>
  <c r="AA87" s="1"/>
  <c r="Y79" a="1"/>
  <c r="Y79" s="1"/>
  <c r="Z79" s="1"/>
  <c r="AA79" s="1"/>
  <c r="Y71" a="1"/>
  <c r="Y71" s="1"/>
  <c r="Z71" s="1"/>
  <c r="AA71" s="1"/>
  <c r="Y63" a="1"/>
  <c r="Y63" s="1"/>
  <c r="Z63" s="1"/>
  <c r="AA63" s="1"/>
  <c r="Y55" a="1"/>
  <c r="Y55" s="1"/>
  <c r="Z55" s="1"/>
  <c r="AA55" s="1"/>
  <c r="Y47" a="1"/>
  <c r="Y47" s="1"/>
  <c r="Z47" s="1"/>
  <c r="AA47" s="1"/>
  <c r="Y39" a="1"/>
  <c r="Y39" s="1"/>
  <c r="Z39" s="1"/>
  <c r="AA39" s="1"/>
  <c r="Y31" a="1"/>
  <c r="Y31" s="1"/>
  <c r="Z31" s="1"/>
  <c r="AA31" s="1"/>
  <c r="Y23" a="1"/>
  <c r="Y23" s="1"/>
  <c r="Z23" s="1"/>
  <c r="AA23" s="1"/>
  <c r="Y15" a="1"/>
  <c r="Y15" s="1"/>
  <c r="Z15" s="1"/>
  <c r="AA15" s="1"/>
  <c r="Y7" a="1"/>
  <c r="Y7" s="1"/>
  <c r="Y200" a="1"/>
  <c r="Y200" s="1"/>
  <c r="Z200" s="1"/>
  <c r="AA200" s="1"/>
  <c r="Y192" a="1"/>
  <c r="Y192" s="1"/>
  <c r="Z192" s="1"/>
  <c r="AA192" s="1"/>
  <c r="Y184" a="1"/>
  <c r="Y184" s="1"/>
  <c r="Z184" s="1"/>
  <c r="AA184" s="1"/>
  <c r="Y176" a="1"/>
  <c r="Y176" s="1"/>
  <c r="Z176" s="1"/>
  <c r="AA176" s="1"/>
  <c r="Y168" a="1"/>
  <c r="Y168" s="1"/>
  <c r="Z168" s="1"/>
  <c r="AA168" s="1"/>
  <c r="Y160" a="1"/>
  <c r="Y160" s="1"/>
  <c r="Z160" s="1"/>
  <c r="AA160" s="1"/>
  <c r="Y152" a="1"/>
  <c r="Y152" s="1"/>
  <c r="Z152" s="1"/>
  <c r="AA152" s="1"/>
  <c r="Y144" a="1"/>
  <c r="Y144" s="1"/>
  <c r="Z144" s="1"/>
  <c r="AA144" s="1"/>
  <c r="Y136" a="1"/>
  <c r="Y136" s="1"/>
  <c r="Z136" s="1"/>
  <c r="AA136" s="1"/>
  <c r="Y128" a="1"/>
  <c r="Y128" s="1"/>
  <c r="Z128" s="1"/>
  <c r="AA128" s="1"/>
  <c r="Y120" a="1"/>
  <c r="Y120" s="1"/>
  <c r="Z120" s="1"/>
  <c r="AA120" s="1"/>
  <c r="Y112" a="1"/>
  <c r="Y112" s="1"/>
  <c r="Z112" s="1"/>
  <c r="AA112" s="1"/>
  <c r="Y104" a="1"/>
  <c r="Y104" s="1"/>
  <c r="Z104" s="1"/>
  <c r="AA104" s="1"/>
  <c r="Y96" a="1"/>
  <c r="Y96" s="1"/>
  <c r="Z96" s="1"/>
  <c r="AA96" s="1"/>
  <c r="Y88" a="1"/>
  <c r="Y88" s="1"/>
  <c r="Z88" s="1"/>
  <c r="AA88" s="1"/>
  <c r="Y80" a="1"/>
  <c r="Y80" s="1"/>
  <c r="Z80" s="1"/>
  <c r="AA80" s="1"/>
  <c r="Y72" a="1"/>
  <c r="Y72" s="1"/>
  <c r="Z72" s="1"/>
  <c r="AA72" s="1"/>
  <c r="Y64" a="1"/>
  <c r="Y64" s="1"/>
  <c r="Z64" s="1"/>
  <c r="AA64" s="1"/>
  <c r="Y56" a="1"/>
  <c r="Y56" s="1"/>
  <c r="Z56" s="1"/>
  <c r="AA56" s="1"/>
  <c r="Y48" a="1"/>
  <c r="Y48" s="1"/>
  <c r="Z48" s="1"/>
  <c r="AA48" s="1"/>
  <c r="Y40" a="1"/>
  <c r="Y40" s="1"/>
  <c r="Z40" s="1"/>
  <c r="AA40" s="1"/>
  <c r="Y32" a="1"/>
  <c r="Y32" s="1"/>
  <c r="Z32" s="1"/>
  <c r="AA32" s="1"/>
  <c r="Y24" a="1"/>
  <c r="Y24" s="1"/>
  <c r="Z24" s="1"/>
  <c r="AA24" s="1"/>
  <c r="Y16" a="1"/>
  <c r="Y16" s="1"/>
  <c r="Z16" s="1"/>
  <c r="AA16" s="1"/>
  <c r="Y8" a="1"/>
  <c r="Y8" s="1"/>
  <c r="Y201" a="1"/>
  <c r="Y201" s="1"/>
  <c r="Z201" s="1"/>
  <c r="AA201" s="1"/>
  <c r="Y193" a="1"/>
  <c r="Y193" s="1"/>
  <c r="Z193" s="1"/>
  <c r="AA193" s="1"/>
  <c r="Y185" a="1"/>
  <c r="Y185" s="1"/>
  <c r="Z185" s="1"/>
  <c r="AA185" s="1"/>
  <c r="Y177" a="1"/>
  <c r="Y177" s="1"/>
  <c r="Z177" s="1"/>
  <c r="AA177" s="1"/>
  <c r="Y169" a="1"/>
  <c r="Y169" s="1"/>
  <c r="Z169" s="1"/>
  <c r="AA169" s="1"/>
  <c r="Y161" a="1"/>
  <c r="Y161" s="1"/>
  <c r="Z161" s="1"/>
  <c r="AA161" s="1"/>
  <c r="Y153" a="1"/>
  <c r="Y153" s="1"/>
  <c r="Z153" s="1"/>
  <c r="AA153" s="1"/>
  <c r="Y145" a="1"/>
  <c r="Y145" s="1"/>
  <c r="Z145" s="1"/>
  <c r="AA145" s="1"/>
  <c r="Y137" a="1"/>
  <c r="Y137" s="1"/>
  <c r="Z137" s="1"/>
  <c r="AA137" s="1"/>
  <c r="Y129" a="1"/>
  <c r="Y129" s="1"/>
  <c r="Z129" s="1"/>
  <c r="AA129" s="1"/>
  <c r="Y121" a="1"/>
  <c r="Y121" s="1"/>
  <c r="Z121" s="1"/>
  <c r="AA121" s="1"/>
  <c r="Y113" a="1"/>
  <c r="Y113" s="1"/>
  <c r="Z113" s="1"/>
  <c r="AA113" s="1"/>
  <c r="Y105" a="1"/>
  <c r="Y105" s="1"/>
  <c r="Z105" s="1"/>
  <c r="AA105" s="1"/>
  <c r="Y97" a="1"/>
  <c r="Y97" s="1"/>
  <c r="Z97" s="1"/>
  <c r="AA97" s="1"/>
  <c r="Y89" a="1"/>
  <c r="Y89" s="1"/>
  <c r="Z89" s="1"/>
  <c r="AA89" s="1"/>
  <c r="Y81" a="1"/>
  <c r="Y81" s="1"/>
  <c r="Z81" s="1"/>
  <c r="AA81" s="1"/>
  <c r="Y73" a="1"/>
  <c r="Y73" s="1"/>
  <c r="Z73" s="1"/>
  <c r="AA73" s="1"/>
  <c r="Y65" a="1"/>
  <c r="Y65" s="1"/>
  <c r="Z65" s="1"/>
  <c r="AA65" s="1"/>
  <c r="Y57" a="1"/>
  <c r="Y57" s="1"/>
  <c r="Z57" s="1"/>
  <c r="AA57" s="1"/>
  <c r="Y49" a="1"/>
  <c r="Y49" s="1"/>
  <c r="Z49" s="1"/>
  <c r="AA49" s="1"/>
  <c r="Y41" a="1"/>
  <c r="Y41" s="1"/>
  <c r="Z41" s="1"/>
  <c r="AA41" s="1"/>
  <c r="Y33" a="1"/>
  <c r="Y33" s="1"/>
  <c r="Z33" s="1"/>
  <c r="AA33" s="1"/>
  <c r="Y25" a="1"/>
  <c r="Y25" s="1"/>
  <c r="Z25" s="1"/>
  <c r="AA25" s="1"/>
  <c r="Y17" a="1"/>
  <c r="Y17" s="1"/>
  <c r="Z17" s="1"/>
  <c r="AA17" s="1"/>
  <c r="Z9" l="1"/>
  <c r="Z8"/>
  <c r="Z7"/>
  <c r="Z2"/>
  <c r="Z4"/>
  <c r="Z3"/>
  <c r="Z6"/>
  <c r="Z5"/>
  <c r="AA2" l="1"/>
  <c r="AA8"/>
  <c r="AA3"/>
  <c r="AA4"/>
  <c r="AA9"/>
  <c r="AA5"/>
  <c r="AA7"/>
  <c r="AA6"/>
  <c r="H1" i="16"/>
  <c r="I1"/>
  <c r="J1"/>
  <c r="K1"/>
  <c r="L1"/>
  <c r="M1"/>
  <c r="N1"/>
  <c r="O1"/>
  <c r="P1"/>
  <c r="Q1"/>
  <c r="R1"/>
  <c r="S1"/>
  <c r="T1"/>
  <c r="U1"/>
  <c r="V1"/>
  <c r="W1"/>
  <c r="X1"/>
  <c r="Y1"/>
  <c r="Z1"/>
  <c r="AA1"/>
  <c r="AB1"/>
  <c r="AC1"/>
  <c r="AD1"/>
  <c r="AE1"/>
  <c r="AF1"/>
  <c r="AG1"/>
  <c r="AH1"/>
  <c r="AI1"/>
  <c r="AJ1"/>
  <c r="AK1"/>
  <c r="AL1"/>
  <c r="AM1"/>
  <c r="AN1"/>
  <c r="AO1"/>
  <c r="AP1"/>
  <c r="AQ1"/>
  <c r="AR1"/>
  <c r="AS1"/>
  <c r="AT1"/>
  <c r="AU1"/>
  <c r="AV1"/>
  <c r="AW1"/>
  <c r="AX1"/>
  <c r="AY1"/>
  <c r="AZ1"/>
  <c r="G1"/>
  <c r="H2" l="1"/>
  <c r="H3" s="1"/>
  <c r="I2"/>
  <c r="I3" s="1"/>
  <c r="J2"/>
  <c r="J3" s="1"/>
  <c r="K2"/>
  <c r="K3" s="1"/>
  <c r="L2"/>
  <c r="L3" s="1"/>
  <c r="M2"/>
  <c r="M3" s="1"/>
  <c r="N2"/>
  <c r="N3" s="1"/>
  <c r="O2"/>
  <c r="O3" s="1"/>
  <c r="P2"/>
  <c r="P3" s="1"/>
  <c r="Q2"/>
  <c r="Q3" s="1"/>
  <c r="R2"/>
  <c r="R3" s="1"/>
  <c r="S2"/>
  <c r="S3" s="1"/>
  <c r="T2"/>
  <c r="T3" s="1"/>
  <c r="U2"/>
  <c r="U3" s="1"/>
  <c r="V2"/>
  <c r="V3" s="1"/>
  <c r="W2"/>
  <c r="W3" s="1"/>
  <c r="X2"/>
  <c r="X3" s="1"/>
  <c r="Y2"/>
  <c r="Y3" s="1"/>
  <c r="Z2"/>
  <c r="Z3" s="1"/>
  <c r="AA2"/>
  <c r="AA3" s="1"/>
  <c r="AB2"/>
  <c r="AB3" s="1"/>
  <c r="AC2"/>
  <c r="AC3" s="1"/>
  <c r="AD2"/>
  <c r="AD3" s="1"/>
  <c r="AE2"/>
  <c r="AE3" s="1"/>
  <c r="AF2"/>
  <c r="AF3" s="1"/>
  <c r="AG2"/>
  <c r="AG3" s="1"/>
  <c r="AH2"/>
  <c r="AH3" s="1"/>
  <c r="AI2"/>
  <c r="AI3" s="1"/>
  <c r="AJ2"/>
  <c r="AJ3" s="1"/>
  <c r="AK2"/>
  <c r="AK3" s="1"/>
  <c r="AL2"/>
  <c r="AL3" s="1"/>
  <c r="AM2"/>
  <c r="AM3" s="1"/>
  <c r="AN2"/>
  <c r="AN3" s="1"/>
  <c r="AO2"/>
  <c r="AO3" s="1"/>
  <c r="AP2"/>
  <c r="AP3" s="1"/>
  <c r="AQ2"/>
  <c r="AQ3" s="1"/>
  <c r="AR2"/>
  <c r="AR3" s="1"/>
  <c r="AS2"/>
  <c r="AS3" s="1"/>
  <c r="AT2"/>
  <c r="AT3" s="1"/>
  <c r="AU2"/>
  <c r="AU3" s="1"/>
  <c r="AV2"/>
  <c r="AV3" s="1"/>
  <c r="AW2"/>
  <c r="AW3" s="1"/>
  <c r="AX2"/>
  <c r="AX3" s="1"/>
  <c r="AY2"/>
  <c r="AY3" s="1"/>
  <c r="AZ2"/>
  <c r="AZ3" s="1"/>
  <c r="G2"/>
  <c r="G3" s="1"/>
  <c r="BZ1"/>
  <c r="B2" s="1"/>
  <c r="B3" l="1"/>
  <c r="S2" i="5" l="1"/>
  <c r="T23" l="1" a="1"/>
  <c r="T23" s="1"/>
  <c r="U23" s="1"/>
  <c r="V23" s="1"/>
  <c r="T31" a="1"/>
  <c r="T31" s="1"/>
  <c r="U31" s="1"/>
  <c r="V31" s="1"/>
  <c r="T39" a="1"/>
  <c r="T39" s="1"/>
  <c r="U39" s="1"/>
  <c r="V39" s="1"/>
  <c r="T47" a="1"/>
  <c r="T47" s="1"/>
  <c r="U47" s="1"/>
  <c r="V47" s="1"/>
  <c r="T55" a="1"/>
  <c r="T55" s="1"/>
  <c r="U55" s="1"/>
  <c r="V55" s="1"/>
  <c r="T63" a="1"/>
  <c r="T63" s="1"/>
  <c r="U63" s="1"/>
  <c r="V63" s="1"/>
  <c r="T71" a="1"/>
  <c r="T71" s="1"/>
  <c r="U71" s="1"/>
  <c r="V71" s="1"/>
  <c r="T79" a="1"/>
  <c r="T79" s="1"/>
  <c r="U79" s="1"/>
  <c r="V79" s="1"/>
  <c r="T87" a="1"/>
  <c r="T87" s="1"/>
  <c r="U87" s="1"/>
  <c r="V87" s="1"/>
  <c r="T95" a="1"/>
  <c r="T95" s="1"/>
  <c r="U95" s="1"/>
  <c r="V95" s="1"/>
  <c r="T103" a="1"/>
  <c r="T103" s="1"/>
  <c r="U103" s="1"/>
  <c r="V103" s="1"/>
  <c r="T111" a="1"/>
  <c r="T111" s="1"/>
  <c r="U111" s="1"/>
  <c r="V111" s="1"/>
  <c r="T119" a="1"/>
  <c r="T119" s="1"/>
  <c r="U119" s="1"/>
  <c r="V119" s="1"/>
  <c r="T127" a="1"/>
  <c r="T127" s="1"/>
  <c r="U127" s="1"/>
  <c r="V127" s="1"/>
  <c r="T135" a="1"/>
  <c r="T135" s="1"/>
  <c r="U135" s="1"/>
  <c r="V135" s="1"/>
  <c r="T143" a="1"/>
  <c r="T143" s="1"/>
  <c r="U143" s="1"/>
  <c r="V143" s="1"/>
  <c r="T151" a="1"/>
  <c r="T151" s="1"/>
  <c r="U151" s="1"/>
  <c r="V151" s="1"/>
  <c r="T159" a="1"/>
  <c r="T159" s="1"/>
  <c r="U159" s="1"/>
  <c r="V159" s="1"/>
  <c r="T167" a="1"/>
  <c r="T167" s="1"/>
  <c r="U167" s="1"/>
  <c r="V167" s="1"/>
  <c r="T175" a="1"/>
  <c r="T175" s="1"/>
  <c r="U175" s="1"/>
  <c r="V175" s="1"/>
  <c r="T183" a="1"/>
  <c r="T183" s="1"/>
  <c r="U183" s="1"/>
  <c r="V183" s="1"/>
  <c r="T191" a="1"/>
  <c r="T191" s="1"/>
  <c r="U191" s="1"/>
  <c r="V191" s="1"/>
  <c r="T199" a="1"/>
  <c r="T199" s="1"/>
  <c r="U199" s="1"/>
  <c r="V199" s="1"/>
  <c r="T8" a="1"/>
  <c r="T8" s="1"/>
  <c r="T22" a="1"/>
  <c r="T22" s="1"/>
  <c r="U22" s="1"/>
  <c r="V22" s="1"/>
  <c r="T30" a="1"/>
  <c r="T30" s="1"/>
  <c r="U30" s="1"/>
  <c r="V30" s="1"/>
  <c r="T38" a="1"/>
  <c r="T38" s="1"/>
  <c r="U38" s="1"/>
  <c r="V38" s="1"/>
  <c r="T46" a="1"/>
  <c r="T46" s="1"/>
  <c r="U46" s="1"/>
  <c r="V46" s="1"/>
  <c r="T54" a="1"/>
  <c r="T54" s="1"/>
  <c r="U54" s="1"/>
  <c r="V54" s="1"/>
  <c r="T62" a="1"/>
  <c r="T62" s="1"/>
  <c r="U62" s="1"/>
  <c r="V62" s="1"/>
  <c r="T70" a="1"/>
  <c r="T70" s="1"/>
  <c r="U70" s="1"/>
  <c r="V70" s="1"/>
  <c r="T78" a="1"/>
  <c r="T78" s="1"/>
  <c r="U78" s="1"/>
  <c r="V78" s="1"/>
  <c r="T86" a="1"/>
  <c r="T86" s="1"/>
  <c r="U86" s="1"/>
  <c r="V86" s="1"/>
  <c r="T94" a="1"/>
  <c r="T94" s="1"/>
  <c r="U94" s="1"/>
  <c r="V94" s="1"/>
  <c r="T102" a="1"/>
  <c r="T102" s="1"/>
  <c r="U102" s="1"/>
  <c r="V102" s="1"/>
  <c r="T110" a="1"/>
  <c r="T110" s="1"/>
  <c r="U110" s="1"/>
  <c r="V110" s="1"/>
  <c r="T118" a="1"/>
  <c r="T118" s="1"/>
  <c r="U118" s="1"/>
  <c r="V118" s="1"/>
  <c r="T126" a="1"/>
  <c r="T126" s="1"/>
  <c r="U126" s="1"/>
  <c r="V126" s="1"/>
  <c r="T134" a="1"/>
  <c r="T134" s="1"/>
  <c r="U134" s="1"/>
  <c r="V134" s="1"/>
  <c r="T142" a="1"/>
  <c r="T142" s="1"/>
  <c r="U142" s="1"/>
  <c r="V142" s="1"/>
  <c r="T150" a="1"/>
  <c r="T150" s="1"/>
  <c r="U150" s="1"/>
  <c r="V150" s="1"/>
  <c r="T158" a="1"/>
  <c r="T158" s="1"/>
  <c r="U158" s="1"/>
  <c r="V158" s="1"/>
  <c r="T166" a="1"/>
  <c r="T166" s="1"/>
  <c r="U166" s="1"/>
  <c r="V166" s="1"/>
  <c r="T174" a="1"/>
  <c r="T174" s="1"/>
  <c r="U174" s="1"/>
  <c r="V174" s="1"/>
  <c r="T182" a="1"/>
  <c r="T182" s="1"/>
  <c r="U182" s="1"/>
  <c r="V182" s="1"/>
  <c r="T190" a="1"/>
  <c r="T190" s="1"/>
  <c r="U190" s="1"/>
  <c r="V190" s="1"/>
  <c r="T198" a="1"/>
  <c r="T198" s="1"/>
  <c r="U198" s="1"/>
  <c r="V198" s="1"/>
  <c r="T7" a="1"/>
  <c r="T7" s="1"/>
  <c r="T15" a="1"/>
  <c r="T15" s="1"/>
  <c r="T21" a="1"/>
  <c r="T21" s="1"/>
  <c r="U21" s="1"/>
  <c r="V21" s="1"/>
  <c r="T29" a="1"/>
  <c r="T29" s="1"/>
  <c r="U29" s="1"/>
  <c r="V29" s="1"/>
  <c r="T37" a="1"/>
  <c r="T37" s="1"/>
  <c r="U37" s="1"/>
  <c r="V37" s="1"/>
  <c r="T45" a="1"/>
  <c r="T45" s="1"/>
  <c r="U45" s="1"/>
  <c r="V45" s="1"/>
  <c r="T53" a="1"/>
  <c r="T53" s="1"/>
  <c r="U53" s="1"/>
  <c r="V53" s="1"/>
  <c r="T61" a="1"/>
  <c r="T61" s="1"/>
  <c r="U61" s="1"/>
  <c r="V61" s="1"/>
  <c r="T69" a="1"/>
  <c r="T69" s="1"/>
  <c r="U69" s="1"/>
  <c r="V69" s="1"/>
  <c r="T77" a="1"/>
  <c r="T77" s="1"/>
  <c r="U77" s="1"/>
  <c r="V77" s="1"/>
  <c r="T85" a="1"/>
  <c r="T85" s="1"/>
  <c r="U85" s="1"/>
  <c r="V85" s="1"/>
  <c r="T93" a="1"/>
  <c r="T93" s="1"/>
  <c r="U93" s="1"/>
  <c r="V93" s="1"/>
  <c r="T101" a="1"/>
  <c r="T101" s="1"/>
  <c r="U101" s="1"/>
  <c r="V101" s="1"/>
  <c r="T109" a="1"/>
  <c r="T109" s="1"/>
  <c r="U109" s="1"/>
  <c r="V109" s="1"/>
  <c r="T117" a="1"/>
  <c r="T117" s="1"/>
  <c r="U117" s="1"/>
  <c r="V117" s="1"/>
  <c r="T125" a="1"/>
  <c r="T125" s="1"/>
  <c r="U125" s="1"/>
  <c r="V125" s="1"/>
  <c r="T133" a="1"/>
  <c r="T133" s="1"/>
  <c r="U133" s="1"/>
  <c r="V133" s="1"/>
  <c r="T141" a="1"/>
  <c r="T141" s="1"/>
  <c r="U141" s="1"/>
  <c r="V141" s="1"/>
  <c r="T149" a="1"/>
  <c r="T149" s="1"/>
  <c r="U149" s="1"/>
  <c r="V149" s="1"/>
  <c r="T157" a="1"/>
  <c r="T157" s="1"/>
  <c r="U157" s="1"/>
  <c r="V157" s="1"/>
  <c r="T165" a="1"/>
  <c r="T165" s="1"/>
  <c r="U165" s="1"/>
  <c r="V165" s="1"/>
  <c r="T173" a="1"/>
  <c r="T173" s="1"/>
  <c r="U173" s="1"/>
  <c r="V173" s="1"/>
  <c r="T181" a="1"/>
  <c r="T181" s="1"/>
  <c r="U181" s="1"/>
  <c r="V181" s="1"/>
  <c r="T189" a="1"/>
  <c r="T189" s="1"/>
  <c r="U189" s="1"/>
  <c r="V189" s="1"/>
  <c r="T197" a="1"/>
  <c r="T197" s="1"/>
  <c r="U197" s="1"/>
  <c r="V197" s="1"/>
  <c r="T6" a="1"/>
  <c r="T6" s="1"/>
  <c r="T14" a="1"/>
  <c r="T14" s="1"/>
  <c r="T20" a="1"/>
  <c r="T20" s="1"/>
  <c r="U20" s="1"/>
  <c r="V20" s="1"/>
  <c r="T28" a="1"/>
  <c r="T28" s="1"/>
  <c r="U28" s="1"/>
  <c r="V28" s="1"/>
  <c r="T36" a="1"/>
  <c r="T36" s="1"/>
  <c r="U36" s="1"/>
  <c r="V36" s="1"/>
  <c r="T44" a="1"/>
  <c r="T44" s="1"/>
  <c r="U44" s="1"/>
  <c r="V44" s="1"/>
  <c r="T52" a="1"/>
  <c r="T52" s="1"/>
  <c r="U52" s="1"/>
  <c r="V52" s="1"/>
  <c r="T60" a="1"/>
  <c r="T60" s="1"/>
  <c r="U60" s="1"/>
  <c r="V60" s="1"/>
  <c r="T68" a="1"/>
  <c r="T68" s="1"/>
  <c r="U68" s="1"/>
  <c r="V68" s="1"/>
  <c r="T76" a="1"/>
  <c r="T76" s="1"/>
  <c r="U76" s="1"/>
  <c r="V76" s="1"/>
  <c r="T84" a="1"/>
  <c r="T84" s="1"/>
  <c r="U84" s="1"/>
  <c r="V84" s="1"/>
  <c r="T92" a="1"/>
  <c r="T92" s="1"/>
  <c r="U92" s="1"/>
  <c r="V92" s="1"/>
  <c r="T100" a="1"/>
  <c r="T100" s="1"/>
  <c r="U100" s="1"/>
  <c r="V100" s="1"/>
  <c r="T108" a="1"/>
  <c r="T108" s="1"/>
  <c r="U108" s="1"/>
  <c r="V108" s="1"/>
  <c r="T116" a="1"/>
  <c r="T116" s="1"/>
  <c r="U116" s="1"/>
  <c r="V116" s="1"/>
  <c r="T124" a="1"/>
  <c r="T124" s="1"/>
  <c r="U124" s="1"/>
  <c r="V124" s="1"/>
  <c r="T132" a="1"/>
  <c r="T132" s="1"/>
  <c r="U132" s="1"/>
  <c r="V132" s="1"/>
  <c r="T140" a="1"/>
  <c r="T140" s="1"/>
  <c r="U140" s="1"/>
  <c r="V140" s="1"/>
  <c r="T148" a="1"/>
  <c r="T148" s="1"/>
  <c r="U148" s="1"/>
  <c r="V148" s="1"/>
  <c r="T156" a="1"/>
  <c r="T156" s="1"/>
  <c r="U156" s="1"/>
  <c r="V156" s="1"/>
  <c r="T164" a="1"/>
  <c r="T164" s="1"/>
  <c r="U164" s="1"/>
  <c r="V164" s="1"/>
  <c r="T172" a="1"/>
  <c r="T172" s="1"/>
  <c r="U172" s="1"/>
  <c r="V172" s="1"/>
  <c r="T180" a="1"/>
  <c r="T180" s="1"/>
  <c r="U180" s="1"/>
  <c r="V180" s="1"/>
  <c r="T188" a="1"/>
  <c r="T188" s="1"/>
  <c r="U188" s="1"/>
  <c r="V188" s="1"/>
  <c r="T196" a="1"/>
  <c r="T196" s="1"/>
  <c r="U196" s="1"/>
  <c r="V196" s="1"/>
  <c r="T5" a="1"/>
  <c r="T5" s="1"/>
  <c r="T13" a="1"/>
  <c r="T13" s="1"/>
  <c r="T19" a="1"/>
  <c r="T19" s="1"/>
  <c r="U19" s="1"/>
  <c r="V19" s="1"/>
  <c r="T27" a="1"/>
  <c r="T27" s="1"/>
  <c r="U27" s="1"/>
  <c r="V27" s="1"/>
  <c r="T35" a="1"/>
  <c r="T35" s="1"/>
  <c r="U35" s="1"/>
  <c r="V35" s="1"/>
  <c r="T43" a="1"/>
  <c r="T43" s="1"/>
  <c r="U43" s="1"/>
  <c r="V43" s="1"/>
  <c r="T51" a="1"/>
  <c r="T51" s="1"/>
  <c r="U51" s="1"/>
  <c r="V51" s="1"/>
  <c r="T59" a="1"/>
  <c r="T59" s="1"/>
  <c r="U59" s="1"/>
  <c r="V59" s="1"/>
  <c r="T67" a="1"/>
  <c r="T67" s="1"/>
  <c r="U67" s="1"/>
  <c r="V67" s="1"/>
  <c r="T75" a="1"/>
  <c r="T75" s="1"/>
  <c r="U75" s="1"/>
  <c r="V75" s="1"/>
  <c r="T83" a="1"/>
  <c r="T83" s="1"/>
  <c r="U83" s="1"/>
  <c r="V83" s="1"/>
  <c r="T91" a="1"/>
  <c r="T91" s="1"/>
  <c r="U91" s="1"/>
  <c r="V91" s="1"/>
  <c r="T99" a="1"/>
  <c r="T99" s="1"/>
  <c r="U99" s="1"/>
  <c r="V99" s="1"/>
  <c r="T107" a="1"/>
  <c r="T107" s="1"/>
  <c r="U107" s="1"/>
  <c r="V107" s="1"/>
  <c r="T115" a="1"/>
  <c r="T115" s="1"/>
  <c r="U115" s="1"/>
  <c r="V115" s="1"/>
  <c r="T123" a="1"/>
  <c r="T123" s="1"/>
  <c r="U123" s="1"/>
  <c r="V123" s="1"/>
  <c r="T131" a="1"/>
  <c r="T131" s="1"/>
  <c r="U131" s="1"/>
  <c r="V131" s="1"/>
  <c r="T139" a="1"/>
  <c r="T139" s="1"/>
  <c r="U139" s="1"/>
  <c r="V139" s="1"/>
  <c r="T147" a="1"/>
  <c r="T147" s="1"/>
  <c r="U147" s="1"/>
  <c r="V147" s="1"/>
  <c r="T155" a="1"/>
  <c r="T155" s="1"/>
  <c r="U155" s="1"/>
  <c r="V155" s="1"/>
  <c r="T163" a="1"/>
  <c r="T163" s="1"/>
  <c r="U163" s="1"/>
  <c r="V163" s="1"/>
  <c r="T171" a="1"/>
  <c r="T171" s="1"/>
  <c r="U171" s="1"/>
  <c r="V171" s="1"/>
  <c r="T179" a="1"/>
  <c r="T179" s="1"/>
  <c r="U179" s="1"/>
  <c r="V179" s="1"/>
  <c r="T187" a="1"/>
  <c r="T187" s="1"/>
  <c r="U187" s="1"/>
  <c r="V187" s="1"/>
  <c r="T195" a="1"/>
  <c r="T195" s="1"/>
  <c r="U195" s="1"/>
  <c r="V195" s="1"/>
  <c r="T4" a="1"/>
  <c r="T4" s="1"/>
  <c r="T12" a="1"/>
  <c r="T12" s="1"/>
  <c r="T18" a="1"/>
  <c r="T18" s="1"/>
  <c r="U18" s="1"/>
  <c r="V18" s="1"/>
  <c r="T26" a="1"/>
  <c r="T26" s="1"/>
  <c r="U26" s="1"/>
  <c r="V26" s="1"/>
  <c r="T34" a="1"/>
  <c r="T34" s="1"/>
  <c r="U34" s="1"/>
  <c r="V34" s="1"/>
  <c r="T42" a="1"/>
  <c r="T42" s="1"/>
  <c r="U42" s="1"/>
  <c r="V42" s="1"/>
  <c r="T50" a="1"/>
  <c r="T50" s="1"/>
  <c r="U50" s="1"/>
  <c r="V50" s="1"/>
  <c r="T58" a="1"/>
  <c r="T58" s="1"/>
  <c r="U58" s="1"/>
  <c r="V58" s="1"/>
  <c r="T66" a="1"/>
  <c r="T66" s="1"/>
  <c r="U66" s="1"/>
  <c r="V66" s="1"/>
  <c r="T74" a="1"/>
  <c r="T74" s="1"/>
  <c r="U74" s="1"/>
  <c r="V74" s="1"/>
  <c r="T82" a="1"/>
  <c r="T82" s="1"/>
  <c r="U82" s="1"/>
  <c r="V82" s="1"/>
  <c r="T90" a="1"/>
  <c r="T90" s="1"/>
  <c r="U90" s="1"/>
  <c r="V90" s="1"/>
  <c r="T98" a="1"/>
  <c r="T98" s="1"/>
  <c r="U98" s="1"/>
  <c r="V98" s="1"/>
  <c r="T106" a="1"/>
  <c r="T106" s="1"/>
  <c r="U106" s="1"/>
  <c r="V106" s="1"/>
  <c r="T114" a="1"/>
  <c r="T114" s="1"/>
  <c r="U114" s="1"/>
  <c r="V114" s="1"/>
  <c r="T122" a="1"/>
  <c r="T122" s="1"/>
  <c r="U122" s="1"/>
  <c r="V122" s="1"/>
  <c r="T130" a="1"/>
  <c r="T130" s="1"/>
  <c r="U130" s="1"/>
  <c r="V130" s="1"/>
  <c r="T138" a="1"/>
  <c r="T138" s="1"/>
  <c r="U138" s="1"/>
  <c r="V138" s="1"/>
  <c r="T146" a="1"/>
  <c r="T146" s="1"/>
  <c r="U146" s="1"/>
  <c r="V146" s="1"/>
  <c r="T154" a="1"/>
  <c r="T154" s="1"/>
  <c r="U154" s="1"/>
  <c r="V154" s="1"/>
  <c r="T162" a="1"/>
  <c r="T162" s="1"/>
  <c r="U162" s="1"/>
  <c r="V162" s="1"/>
  <c r="T170" a="1"/>
  <c r="T170" s="1"/>
  <c r="U170" s="1"/>
  <c r="V170" s="1"/>
  <c r="T178" a="1"/>
  <c r="T178" s="1"/>
  <c r="U178" s="1"/>
  <c r="V178" s="1"/>
  <c r="T186" a="1"/>
  <c r="T186" s="1"/>
  <c r="U186" s="1"/>
  <c r="V186" s="1"/>
  <c r="T194" a="1"/>
  <c r="T194" s="1"/>
  <c r="U194" s="1"/>
  <c r="V194" s="1"/>
  <c r="T3" a="1"/>
  <c r="T3" s="1"/>
  <c r="T11" a="1"/>
  <c r="T11" s="1"/>
  <c r="T17" a="1"/>
  <c r="T17" s="1"/>
  <c r="U17" s="1"/>
  <c r="V17" s="1"/>
  <c r="T25" a="1"/>
  <c r="T25" s="1"/>
  <c r="U25" s="1"/>
  <c r="V25" s="1"/>
  <c r="T33" a="1"/>
  <c r="T33" s="1"/>
  <c r="U33" s="1"/>
  <c r="V33" s="1"/>
  <c r="T41" a="1"/>
  <c r="T41" s="1"/>
  <c r="U41" s="1"/>
  <c r="V41" s="1"/>
  <c r="T49" a="1"/>
  <c r="T49" s="1"/>
  <c r="U49" s="1"/>
  <c r="V49" s="1"/>
  <c r="T57" a="1"/>
  <c r="T57" s="1"/>
  <c r="U57" s="1"/>
  <c r="V57" s="1"/>
  <c r="T65" a="1"/>
  <c r="T65" s="1"/>
  <c r="U65" s="1"/>
  <c r="V65" s="1"/>
  <c r="T73" a="1"/>
  <c r="T73" s="1"/>
  <c r="U73" s="1"/>
  <c r="V73" s="1"/>
  <c r="T81" a="1"/>
  <c r="T81" s="1"/>
  <c r="U81" s="1"/>
  <c r="V81" s="1"/>
  <c r="T89" a="1"/>
  <c r="T89" s="1"/>
  <c r="U89" s="1"/>
  <c r="V89" s="1"/>
  <c r="T97" a="1"/>
  <c r="T97" s="1"/>
  <c r="U97" s="1"/>
  <c r="V97" s="1"/>
  <c r="T105" a="1"/>
  <c r="T105" s="1"/>
  <c r="U105" s="1"/>
  <c r="V105" s="1"/>
  <c r="T113" a="1"/>
  <c r="T113" s="1"/>
  <c r="U113" s="1"/>
  <c r="V113" s="1"/>
  <c r="T121" a="1"/>
  <c r="T121" s="1"/>
  <c r="U121" s="1"/>
  <c r="V121" s="1"/>
  <c r="T129" a="1"/>
  <c r="T129" s="1"/>
  <c r="U129" s="1"/>
  <c r="V129" s="1"/>
  <c r="T137" a="1"/>
  <c r="T137" s="1"/>
  <c r="U137" s="1"/>
  <c r="V137" s="1"/>
  <c r="T145" a="1"/>
  <c r="T145" s="1"/>
  <c r="U145" s="1"/>
  <c r="V145" s="1"/>
  <c r="T153" a="1"/>
  <c r="T153" s="1"/>
  <c r="U153" s="1"/>
  <c r="V153" s="1"/>
  <c r="T161" a="1"/>
  <c r="T161" s="1"/>
  <c r="U161" s="1"/>
  <c r="V161" s="1"/>
  <c r="T169" a="1"/>
  <c r="T169" s="1"/>
  <c r="U169" s="1"/>
  <c r="V169" s="1"/>
  <c r="T177" a="1"/>
  <c r="T177" s="1"/>
  <c r="U177" s="1"/>
  <c r="V177" s="1"/>
  <c r="T185" a="1"/>
  <c r="T185" s="1"/>
  <c r="U185" s="1"/>
  <c r="V185" s="1"/>
  <c r="T193" a="1"/>
  <c r="T193" s="1"/>
  <c r="U193" s="1"/>
  <c r="V193" s="1"/>
  <c r="T201" a="1"/>
  <c r="T201" s="1"/>
  <c r="U201" s="1"/>
  <c r="V201" s="1"/>
  <c r="T10" a="1"/>
  <c r="T10" s="1"/>
  <c r="T16" a="1"/>
  <c r="T16" s="1"/>
  <c r="U16" s="1"/>
  <c r="V16" s="1"/>
  <c r="T24" a="1"/>
  <c r="T24" s="1"/>
  <c r="U24" s="1"/>
  <c r="V24" s="1"/>
  <c r="T32" a="1"/>
  <c r="T32" s="1"/>
  <c r="U32" s="1"/>
  <c r="V32" s="1"/>
  <c r="T40" a="1"/>
  <c r="T40" s="1"/>
  <c r="U40" s="1"/>
  <c r="V40" s="1"/>
  <c r="T48" a="1"/>
  <c r="T48" s="1"/>
  <c r="U48" s="1"/>
  <c r="V48" s="1"/>
  <c r="T56" a="1"/>
  <c r="T56" s="1"/>
  <c r="U56" s="1"/>
  <c r="V56" s="1"/>
  <c r="T64" a="1"/>
  <c r="T64" s="1"/>
  <c r="U64" s="1"/>
  <c r="V64" s="1"/>
  <c r="T72" a="1"/>
  <c r="T72" s="1"/>
  <c r="U72" s="1"/>
  <c r="V72" s="1"/>
  <c r="T80" a="1"/>
  <c r="T80" s="1"/>
  <c r="U80" s="1"/>
  <c r="V80" s="1"/>
  <c r="T88" a="1"/>
  <c r="T88" s="1"/>
  <c r="U88" s="1"/>
  <c r="V88" s="1"/>
  <c r="T96" a="1"/>
  <c r="T96" s="1"/>
  <c r="U96" s="1"/>
  <c r="V96" s="1"/>
  <c r="T104" a="1"/>
  <c r="T104" s="1"/>
  <c r="U104" s="1"/>
  <c r="V104" s="1"/>
  <c r="T112" a="1"/>
  <c r="T112" s="1"/>
  <c r="U112" s="1"/>
  <c r="V112" s="1"/>
  <c r="T120" a="1"/>
  <c r="T120" s="1"/>
  <c r="U120" s="1"/>
  <c r="V120" s="1"/>
  <c r="T128" a="1"/>
  <c r="T128" s="1"/>
  <c r="U128" s="1"/>
  <c r="V128" s="1"/>
  <c r="T136" a="1"/>
  <c r="T136" s="1"/>
  <c r="U136" s="1"/>
  <c r="V136" s="1"/>
  <c r="T144" a="1"/>
  <c r="T144" s="1"/>
  <c r="U144" s="1"/>
  <c r="V144" s="1"/>
  <c r="T152" a="1"/>
  <c r="T152" s="1"/>
  <c r="U152" s="1"/>
  <c r="V152" s="1"/>
  <c r="T160" a="1"/>
  <c r="T160" s="1"/>
  <c r="U160" s="1"/>
  <c r="V160" s="1"/>
  <c r="T168" a="1"/>
  <c r="T168" s="1"/>
  <c r="U168" s="1"/>
  <c r="V168" s="1"/>
  <c r="T176" a="1"/>
  <c r="T176" s="1"/>
  <c r="U176" s="1"/>
  <c r="V176" s="1"/>
  <c r="T184" a="1"/>
  <c r="T184" s="1"/>
  <c r="U184" s="1"/>
  <c r="V184" s="1"/>
  <c r="T192" a="1"/>
  <c r="T192" s="1"/>
  <c r="U192" s="1"/>
  <c r="V192" s="1"/>
  <c r="T200" a="1"/>
  <c r="T200" s="1"/>
  <c r="U200" s="1"/>
  <c r="V200" s="1"/>
  <c r="T9" a="1"/>
  <c r="T9" s="1"/>
  <c r="T2" a="1"/>
  <c r="T2" s="1"/>
  <c r="U15" l="1"/>
  <c r="U14"/>
  <c r="U10"/>
  <c r="U8"/>
  <c r="U12"/>
  <c r="U13"/>
  <c r="U5"/>
  <c r="U9"/>
  <c r="U2"/>
  <c r="U4"/>
  <c r="U6"/>
  <c r="U3"/>
  <c r="U11"/>
  <c r="U7"/>
  <c r="V4" l="1"/>
  <c r="V11"/>
  <c r="V7"/>
  <c r="V6"/>
  <c r="V14"/>
  <c r="V15"/>
  <c r="V8"/>
  <c r="V12"/>
  <c r="V5"/>
  <c r="V13"/>
  <c r="V2"/>
  <c r="V10"/>
  <c r="V3"/>
  <c r="V9"/>
  <c r="A10" i="12" l="1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33"/>
  <c r="A234"/>
  <c r="A235"/>
  <c r="A236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61"/>
  <c r="A262"/>
  <c r="A263"/>
  <c r="A264"/>
  <c r="A265"/>
  <c r="A266"/>
  <c r="A267"/>
  <c r="A268"/>
  <c r="A269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89"/>
  <c r="A290"/>
  <c r="A291"/>
  <c r="A292"/>
  <c r="A293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317"/>
  <c r="A318"/>
  <c r="A319"/>
  <c r="A320"/>
  <c r="A321"/>
  <c r="A322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345"/>
  <c r="A346"/>
  <c r="A347"/>
  <c r="A348"/>
  <c r="A349"/>
  <c r="A350"/>
  <c r="A351"/>
  <c r="A352"/>
  <c r="A353"/>
  <c r="A354"/>
  <c r="A355"/>
  <c r="A356"/>
  <c r="A357"/>
  <c r="A358"/>
  <c r="A359"/>
  <c r="A360"/>
  <c r="A361"/>
  <c r="A362"/>
  <c r="A363"/>
  <c r="A364"/>
  <c r="A365"/>
  <c r="A366"/>
  <c r="A367"/>
  <c r="A368"/>
  <c r="A369"/>
  <c r="A370"/>
  <c r="A371"/>
  <c r="A372"/>
  <c r="A373"/>
  <c r="A374"/>
  <c r="A375"/>
  <c r="A376"/>
  <c r="A377"/>
  <c r="A378"/>
  <c r="A379"/>
  <c r="A380"/>
  <c r="A381"/>
  <c r="A382"/>
  <c r="A383"/>
  <c r="A384"/>
  <c r="A385"/>
  <c r="A386"/>
  <c r="A387"/>
  <c r="A388"/>
  <c r="A389"/>
  <c r="A390"/>
  <c r="A391"/>
  <c r="A392"/>
  <c r="A393"/>
  <c r="A394"/>
  <c r="A395"/>
  <c r="A396"/>
  <c r="A397"/>
  <c r="A398"/>
  <c r="A399"/>
  <c r="A400"/>
  <c r="A401"/>
  <c r="A402"/>
  <c r="A403"/>
  <c r="A404"/>
  <c r="A405"/>
  <c r="A406"/>
  <c r="A407"/>
  <c r="A408"/>
  <c r="A409"/>
  <c r="A410"/>
  <c r="A411"/>
  <c r="A412"/>
  <c r="A413"/>
  <c r="A414"/>
  <c r="A415"/>
  <c r="A416"/>
  <c r="A417"/>
  <c r="A418"/>
  <c r="A419"/>
  <c r="A420"/>
  <c r="A421"/>
  <c r="A422"/>
  <c r="A423"/>
  <c r="A424"/>
  <c r="A425"/>
  <c r="A426"/>
  <c r="A427"/>
  <c r="A428"/>
  <c r="A429"/>
  <c r="A430"/>
  <c r="A431"/>
  <c r="A432"/>
  <c r="A433"/>
  <c r="A434"/>
  <c r="A435"/>
  <c r="A436"/>
  <c r="A437"/>
  <c r="A438"/>
  <c r="A439"/>
  <c r="A440"/>
  <c r="A441"/>
  <c r="A442"/>
  <c r="A443"/>
  <c r="A444"/>
  <c r="A445"/>
  <c r="A446"/>
  <c r="A447"/>
  <c r="A448"/>
  <c r="A449"/>
  <c r="A450"/>
  <c r="A451"/>
  <c r="A452"/>
  <c r="A453"/>
  <c r="A454"/>
  <c r="A455"/>
  <c r="A456"/>
  <c r="A457"/>
  <c r="A458"/>
  <c r="A459"/>
  <c r="A460"/>
  <c r="A461"/>
  <c r="A462"/>
  <c r="A463"/>
  <c r="A464"/>
  <c r="A465"/>
  <c r="A466"/>
  <c r="A467"/>
  <c r="A468"/>
  <c r="A469"/>
  <c r="A470"/>
  <c r="A471"/>
  <c r="A472"/>
  <c r="A473"/>
  <c r="A474"/>
  <c r="A475"/>
  <c r="A476"/>
  <c r="A477"/>
  <c r="A478"/>
  <c r="A479"/>
  <c r="A480"/>
  <c r="A481"/>
  <c r="A482"/>
  <c r="A483"/>
  <c r="A484"/>
  <c r="A485"/>
  <c r="A486"/>
  <c r="A487"/>
  <c r="A488"/>
  <c r="A489"/>
  <c r="A490"/>
  <c r="A491"/>
  <c r="A492"/>
  <c r="A493"/>
  <c r="A494"/>
  <c r="A495"/>
  <c r="A496"/>
  <c r="A497"/>
  <c r="A498"/>
  <c r="A499"/>
  <c r="A500"/>
  <c r="A501"/>
  <c r="A502"/>
  <c r="A503"/>
  <c r="A504"/>
  <c r="A505"/>
  <c r="A506"/>
  <c r="A507"/>
  <c r="A508"/>
  <c r="A509"/>
  <c r="A510"/>
  <c r="A511"/>
  <c r="A512"/>
  <c r="A513"/>
  <c r="A514"/>
  <c r="A515"/>
  <c r="A516"/>
  <c r="A517"/>
  <c r="A518"/>
  <c r="A519"/>
  <c r="A520"/>
  <c r="A521"/>
  <c r="A522"/>
  <c r="A523"/>
  <c r="A524"/>
  <c r="A525"/>
  <c r="A526"/>
  <c r="A527"/>
  <c r="A528"/>
  <c r="A529"/>
  <c r="A530"/>
  <c r="A531"/>
  <c r="A532"/>
  <c r="A533"/>
  <c r="A534"/>
  <c r="A535"/>
  <c r="A536"/>
  <c r="A537"/>
  <c r="A538"/>
  <c r="A539"/>
  <c r="A540"/>
  <c r="A541"/>
  <c r="A542"/>
  <c r="A543"/>
  <c r="A544"/>
  <c r="A545"/>
  <c r="A546"/>
  <c r="A547"/>
  <c r="A548"/>
  <c r="A549"/>
  <c r="A550"/>
  <c r="A551"/>
  <c r="A552"/>
  <c r="A553"/>
  <c r="A554"/>
  <c r="A555"/>
  <c r="A556"/>
  <c r="A557"/>
  <c r="A558"/>
  <c r="A559"/>
  <c r="A560"/>
  <c r="A561"/>
  <c r="A562"/>
  <c r="A563"/>
  <c r="A564"/>
  <c r="A565"/>
  <c r="A566"/>
  <c r="A567"/>
  <c r="A568"/>
  <c r="A569"/>
  <c r="A570"/>
  <c r="A571"/>
  <c r="A572"/>
  <c r="A573"/>
  <c r="A574"/>
  <c r="A575"/>
  <c r="A576"/>
  <c r="A577"/>
  <c r="A578"/>
  <c r="A579"/>
  <c r="A580"/>
  <c r="A581"/>
  <c r="A582"/>
  <c r="A583"/>
  <c r="A584"/>
  <c r="A585"/>
  <c r="A586"/>
  <c r="A587"/>
  <c r="A588"/>
  <c r="A589"/>
  <c r="A590"/>
  <c r="A591"/>
  <c r="A592"/>
  <c r="A593"/>
  <c r="A594"/>
  <c r="A595"/>
  <c r="A596"/>
  <c r="A597"/>
  <c r="A598"/>
  <c r="A599"/>
  <c r="A600"/>
  <c r="A601"/>
  <c r="A602"/>
  <c r="A603"/>
  <c r="A604"/>
  <c r="A605"/>
  <c r="A606"/>
  <c r="A607"/>
  <c r="A608"/>
  <c r="A609"/>
  <c r="A610"/>
  <c r="A611"/>
  <c r="A612"/>
  <c r="A613"/>
  <c r="A614"/>
  <c r="A615"/>
  <c r="A616"/>
  <c r="A617"/>
  <c r="A618"/>
  <c r="A619"/>
  <c r="A620"/>
  <c r="A621"/>
  <c r="A622"/>
  <c r="A623"/>
  <c r="A624"/>
  <c r="A625"/>
  <c r="A626"/>
  <c r="A627"/>
  <c r="A628"/>
  <c r="A629"/>
  <c r="A630"/>
  <c r="A631"/>
  <c r="A632"/>
  <c r="A633"/>
  <c r="A634"/>
  <c r="A635"/>
  <c r="A636"/>
  <c r="A637"/>
  <c r="A638"/>
  <c r="A639"/>
  <c r="A640"/>
  <c r="A641"/>
  <c r="A642"/>
  <c r="A643"/>
  <c r="A644"/>
  <c r="A645"/>
  <c r="A646"/>
  <c r="A647"/>
  <c r="A648"/>
  <c r="A649"/>
  <c r="A650"/>
  <c r="A651"/>
  <c r="A652"/>
  <c r="A653"/>
  <c r="A654"/>
  <c r="A655"/>
  <c r="A656"/>
  <c r="A657"/>
  <c r="A658"/>
  <c r="A659"/>
  <c r="A660"/>
  <c r="A661"/>
  <c r="A662"/>
  <c r="A663"/>
  <c r="A664"/>
  <c r="A665"/>
  <c r="A666"/>
  <c r="A667"/>
  <c r="A668"/>
  <c r="A669"/>
  <c r="A670"/>
  <c r="A671"/>
  <c r="A672"/>
  <c r="A673"/>
  <c r="A674"/>
  <c r="A675"/>
  <c r="A676"/>
  <c r="A677"/>
  <c r="A678"/>
  <c r="A679"/>
  <c r="A680"/>
  <c r="A681"/>
  <c r="A682"/>
  <c r="A683"/>
  <c r="A684"/>
  <c r="A685"/>
  <c r="A686"/>
  <c r="A687"/>
  <c r="A688"/>
  <c r="A689"/>
  <c r="A690"/>
  <c r="A691"/>
  <c r="A692"/>
  <c r="A693"/>
  <c r="A694"/>
  <c r="A695"/>
  <c r="A696"/>
  <c r="A697"/>
  <c r="A698"/>
  <c r="A699"/>
  <c r="A700"/>
  <c r="A701"/>
  <c r="A702"/>
  <c r="A703"/>
  <c r="A704"/>
  <c r="A705"/>
  <c r="A706"/>
  <c r="A707"/>
  <c r="A708"/>
  <c r="A709"/>
  <c r="A710"/>
  <c r="A711"/>
  <c r="A712"/>
  <c r="A713"/>
  <c r="A714"/>
  <c r="A715"/>
  <c r="A716"/>
  <c r="A717"/>
  <c r="A718"/>
  <c r="A719"/>
  <c r="A720"/>
  <c r="A721"/>
  <c r="A722"/>
  <c r="A723"/>
  <c r="A724"/>
  <c r="A725"/>
  <c r="A726"/>
  <c r="A727"/>
  <c r="A728"/>
  <c r="A729"/>
  <c r="A730"/>
  <c r="A731"/>
  <c r="A732"/>
  <c r="A733"/>
  <c r="A734"/>
  <c r="A735"/>
  <c r="A736"/>
  <c r="A737"/>
  <c r="A738"/>
  <c r="A739"/>
  <c r="A740"/>
  <c r="A741"/>
  <c r="A742"/>
  <c r="A743"/>
  <c r="A744"/>
  <c r="A745"/>
  <c r="A746"/>
  <c r="A747"/>
  <c r="A748"/>
  <c r="A749"/>
  <c r="A750"/>
  <c r="A751"/>
  <c r="A752"/>
  <c r="A753"/>
  <c r="A754"/>
  <c r="A755"/>
  <c r="A756"/>
  <c r="A757"/>
  <c r="A758"/>
  <c r="A759"/>
  <c r="A760"/>
  <c r="A761"/>
  <c r="A762"/>
  <c r="A763"/>
  <c r="A764"/>
  <c r="A765"/>
  <c r="A766"/>
  <c r="A767"/>
  <c r="A768"/>
  <c r="A769"/>
  <c r="A770"/>
  <c r="A771"/>
  <c r="A772"/>
  <c r="A773"/>
  <c r="A774"/>
  <c r="A775"/>
  <c r="A776"/>
  <c r="A777"/>
  <c r="A778"/>
  <c r="A779"/>
  <c r="A780"/>
  <c r="A781"/>
  <c r="A782"/>
  <c r="A783"/>
  <c r="A784"/>
  <c r="A785"/>
  <c r="A786"/>
  <c r="A787"/>
  <c r="A788"/>
  <c r="A789"/>
  <c r="A790"/>
  <c r="A791"/>
  <c r="A792"/>
  <c r="A793"/>
  <c r="A794"/>
  <c r="A795"/>
  <c r="A796"/>
  <c r="A797"/>
  <c r="A798"/>
  <c r="A799"/>
  <c r="A800"/>
  <c r="A801"/>
  <c r="A802"/>
  <c r="A803"/>
  <c r="A804"/>
  <c r="A805"/>
  <c r="A806"/>
  <c r="A807"/>
  <c r="A808"/>
  <c r="A809"/>
  <c r="A810"/>
  <c r="A811"/>
  <c r="A812"/>
  <c r="A813"/>
  <c r="A814"/>
  <c r="A815"/>
  <c r="A816"/>
  <c r="A817"/>
  <c r="A818"/>
  <c r="A819"/>
  <c r="A820"/>
  <c r="A821"/>
  <c r="A822"/>
  <c r="A823"/>
  <c r="A824"/>
  <c r="A825"/>
  <c r="A826"/>
  <c r="A827"/>
  <c r="A828"/>
  <c r="A829"/>
  <c r="A830"/>
  <c r="A831"/>
  <c r="A832"/>
  <c r="A833"/>
  <c r="A834"/>
  <c r="A835"/>
  <c r="A836"/>
  <c r="A837"/>
  <c r="A838"/>
  <c r="A839"/>
  <c r="A840"/>
  <c r="A841"/>
  <c r="A842"/>
  <c r="A843"/>
  <c r="A844"/>
  <c r="A845"/>
  <c r="A846"/>
  <c r="A847"/>
  <c r="A848"/>
  <c r="A849"/>
  <c r="A850"/>
  <c r="A851"/>
  <c r="A852"/>
  <c r="A853"/>
  <c r="A854"/>
  <c r="A855"/>
  <c r="A856"/>
  <c r="A857"/>
  <c r="A858"/>
  <c r="A859"/>
  <c r="A860"/>
  <c r="A861"/>
  <c r="A862"/>
  <c r="A863"/>
  <c r="A864"/>
  <c r="A865"/>
  <c r="A866"/>
  <c r="A867"/>
  <c r="A868"/>
  <c r="A869"/>
  <c r="A870"/>
  <c r="A871"/>
  <c r="A872"/>
  <c r="A873"/>
  <c r="A874"/>
  <c r="A875"/>
  <c r="A876"/>
  <c r="A877"/>
  <c r="A878"/>
  <c r="A879"/>
  <c r="A880"/>
  <c r="A881"/>
  <c r="A882"/>
  <c r="A883"/>
  <c r="A884"/>
  <c r="A885"/>
  <c r="A886"/>
  <c r="A887"/>
  <c r="A888"/>
  <c r="A889"/>
  <c r="A890"/>
  <c r="A891"/>
  <c r="A892"/>
  <c r="A893"/>
  <c r="A894"/>
  <c r="A895"/>
  <c r="A896"/>
  <c r="A897"/>
  <c r="A898"/>
  <c r="A899"/>
  <c r="A900"/>
  <c r="A901"/>
  <c r="A902"/>
  <c r="A903"/>
  <c r="A904"/>
  <c r="A905"/>
  <c r="A906"/>
  <c r="A907"/>
  <c r="A908"/>
  <c r="A909"/>
  <c r="A910"/>
  <c r="A911"/>
  <c r="A912"/>
  <c r="A913"/>
  <c r="A914"/>
  <c r="A915"/>
  <c r="A916"/>
  <c r="A917"/>
  <c r="A918"/>
  <c r="A919"/>
  <c r="A920"/>
  <c r="A921"/>
  <c r="A922"/>
  <c r="A923"/>
  <c r="A924"/>
  <c r="A925"/>
  <c r="A926"/>
  <c r="A927"/>
  <c r="A928"/>
  <c r="A929"/>
  <c r="A930"/>
  <c r="A931"/>
  <c r="A932"/>
  <c r="A933"/>
  <c r="A934"/>
  <c r="A935"/>
  <c r="A936"/>
  <c r="A937"/>
  <c r="A938"/>
  <c r="A939"/>
  <c r="A940"/>
  <c r="A941"/>
  <c r="A942"/>
  <c r="A943"/>
  <c r="A944"/>
  <c r="A945"/>
  <c r="A946"/>
  <c r="A947"/>
  <c r="A948"/>
  <c r="A949"/>
  <c r="A950"/>
  <c r="A951"/>
  <c r="A952"/>
  <c r="A953"/>
  <c r="A954"/>
  <c r="A955"/>
  <c r="A956"/>
  <c r="A957"/>
  <c r="A958"/>
  <c r="A959"/>
  <c r="A960"/>
  <c r="A961"/>
  <c r="A962"/>
  <c r="A963"/>
  <c r="A964"/>
  <c r="A965"/>
  <c r="A966"/>
  <c r="A967"/>
  <c r="A968"/>
  <c r="A969"/>
  <c r="A970"/>
  <c r="A971"/>
  <c r="A972"/>
  <c r="A973"/>
  <c r="A974"/>
  <c r="A975"/>
  <c r="A976"/>
  <c r="A977"/>
  <c r="A978"/>
  <c r="A979"/>
  <c r="A980"/>
  <c r="A981"/>
  <c r="A982"/>
  <c r="A983"/>
  <c r="A984"/>
  <c r="A985"/>
  <c r="A986"/>
  <c r="A987"/>
  <c r="A988"/>
  <c r="A989"/>
  <c r="A990"/>
  <c r="A991"/>
  <c r="A992"/>
  <c r="A993"/>
  <c r="A994"/>
  <c r="A995"/>
  <c r="A996"/>
  <c r="A997"/>
  <c r="A998"/>
  <c r="A999"/>
  <c r="A1000"/>
  <c r="A9"/>
  <c r="C7"/>
  <c r="C6"/>
  <c r="M2" i="5"/>
  <c r="N16" l="1" a="1"/>
  <c r="N16" s="1"/>
  <c r="O16" s="1"/>
  <c r="P16" s="1"/>
  <c r="N24" a="1"/>
  <c r="N24" s="1"/>
  <c r="O24" s="1"/>
  <c r="P24" s="1"/>
  <c r="N32" a="1"/>
  <c r="N32" s="1"/>
  <c r="O32" s="1"/>
  <c r="P32" s="1"/>
  <c r="N40" a="1"/>
  <c r="N40" s="1"/>
  <c r="O40" s="1"/>
  <c r="P40" s="1"/>
  <c r="N48" a="1"/>
  <c r="N48" s="1"/>
  <c r="O48" s="1"/>
  <c r="P48" s="1"/>
  <c r="N56" a="1"/>
  <c r="N56" s="1"/>
  <c r="O56" s="1"/>
  <c r="P56" s="1"/>
  <c r="N64" a="1"/>
  <c r="N64" s="1"/>
  <c r="O64" s="1"/>
  <c r="P64" s="1"/>
  <c r="N72" a="1"/>
  <c r="N72" s="1"/>
  <c r="O72" s="1"/>
  <c r="P72" s="1"/>
  <c r="N80" a="1"/>
  <c r="N80" s="1"/>
  <c r="O80" s="1"/>
  <c r="P80" s="1"/>
  <c r="N88" a="1"/>
  <c r="N88" s="1"/>
  <c r="O88" s="1"/>
  <c r="P88" s="1"/>
  <c r="N96" a="1"/>
  <c r="N96" s="1"/>
  <c r="O96" s="1"/>
  <c r="P96" s="1"/>
  <c r="N104" a="1"/>
  <c r="N104" s="1"/>
  <c r="O104" s="1"/>
  <c r="P104" s="1"/>
  <c r="N112" a="1"/>
  <c r="N112" s="1"/>
  <c r="O112" s="1"/>
  <c r="P112" s="1"/>
  <c r="N120" a="1"/>
  <c r="N120" s="1"/>
  <c r="O120" s="1"/>
  <c r="P120" s="1"/>
  <c r="N128" a="1"/>
  <c r="N128" s="1"/>
  <c r="O128" s="1"/>
  <c r="P128" s="1"/>
  <c r="N136" a="1"/>
  <c r="N136" s="1"/>
  <c r="O136" s="1"/>
  <c r="P136" s="1"/>
  <c r="N144" a="1"/>
  <c r="N144" s="1"/>
  <c r="O144" s="1"/>
  <c r="P144" s="1"/>
  <c r="N152" a="1"/>
  <c r="N152" s="1"/>
  <c r="O152" s="1"/>
  <c r="P152" s="1"/>
  <c r="N160" a="1"/>
  <c r="N160" s="1"/>
  <c r="O160" s="1"/>
  <c r="P160" s="1"/>
  <c r="N168" a="1"/>
  <c r="N168" s="1"/>
  <c r="O168" s="1"/>
  <c r="P168" s="1"/>
  <c r="N176" a="1"/>
  <c r="N176" s="1"/>
  <c r="O176" s="1"/>
  <c r="P176" s="1"/>
  <c r="N184" a="1"/>
  <c r="N184" s="1"/>
  <c r="O184" s="1"/>
  <c r="P184" s="1"/>
  <c r="N192" a="1"/>
  <c r="N192" s="1"/>
  <c r="O192" s="1"/>
  <c r="P192" s="1"/>
  <c r="N200" a="1"/>
  <c r="N200" s="1"/>
  <c r="O200" s="1"/>
  <c r="P200" s="1"/>
  <c r="N9" a="1"/>
  <c r="N9" s="1"/>
  <c r="N23" a="1"/>
  <c r="N23" s="1"/>
  <c r="O23" s="1"/>
  <c r="P23" s="1"/>
  <c r="N31" a="1"/>
  <c r="N31" s="1"/>
  <c r="O31" s="1"/>
  <c r="P31" s="1"/>
  <c r="N39" a="1"/>
  <c r="N39" s="1"/>
  <c r="O39" s="1"/>
  <c r="P39" s="1"/>
  <c r="N47" a="1"/>
  <c r="N47" s="1"/>
  <c r="O47" s="1"/>
  <c r="P47" s="1"/>
  <c r="N55" a="1"/>
  <c r="N55" s="1"/>
  <c r="O55" s="1"/>
  <c r="P55" s="1"/>
  <c r="N63" a="1"/>
  <c r="N63" s="1"/>
  <c r="O63" s="1"/>
  <c r="P63" s="1"/>
  <c r="N71" a="1"/>
  <c r="N71" s="1"/>
  <c r="O71" s="1"/>
  <c r="P71" s="1"/>
  <c r="N79" a="1"/>
  <c r="N79" s="1"/>
  <c r="O79" s="1"/>
  <c r="P79" s="1"/>
  <c r="N87" a="1"/>
  <c r="N87" s="1"/>
  <c r="O87" s="1"/>
  <c r="P87" s="1"/>
  <c r="N95" a="1"/>
  <c r="N95" s="1"/>
  <c r="O95" s="1"/>
  <c r="P95" s="1"/>
  <c r="N103" a="1"/>
  <c r="N103" s="1"/>
  <c r="O103" s="1"/>
  <c r="P103" s="1"/>
  <c r="N111" a="1"/>
  <c r="N111" s="1"/>
  <c r="O111" s="1"/>
  <c r="P111" s="1"/>
  <c r="N119" a="1"/>
  <c r="N119" s="1"/>
  <c r="O119" s="1"/>
  <c r="P119" s="1"/>
  <c r="N127" a="1"/>
  <c r="N127" s="1"/>
  <c r="O127" s="1"/>
  <c r="P127" s="1"/>
  <c r="N135" a="1"/>
  <c r="N135" s="1"/>
  <c r="O135" s="1"/>
  <c r="P135" s="1"/>
  <c r="N143" a="1"/>
  <c r="N143" s="1"/>
  <c r="O143" s="1"/>
  <c r="P143" s="1"/>
  <c r="N151" a="1"/>
  <c r="N151" s="1"/>
  <c r="O151" s="1"/>
  <c r="P151" s="1"/>
  <c r="N159" a="1"/>
  <c r="N159" s="1"/>
  <c r="O159" s="1"/>
  <c r="P159" s="1"/>
  <c r="N167" a="1"/>
  <c r="N167" s="1"/>
  <c r="O167" s="1"/>
  <c r="P167" s="1"/>
  <c r="N175" a="1"/>
  <c r="N175" s="1"/>
  <c r="O175" s="1"/>
  <c r="P175" s="1"/>
  <c r="N183" a="1"/>
  <c r="N183" s="1"/>
  <c r="O183" s="1"/>
  <c r="P183" s="1"/>
  <c r="N191" a="1"/>
  <c r="N191" s="1"/>
  <c r="O191" s="1"/>
  <c r="P191" s="1"/>
  <c r="N199" a="1"/>
  <c r="N199" s="1"/>
  <c r="O199" s="1"/>
  <c r="P199" s="1"/>
  <c r="N8" a="1"/>
  <c r="N8" s="1"/>
  <c r="N2" a="1"/>
  <c r="N2" s="1"/>
  <c r="N22" a="1"/>
  <c r="N22" s="1"/>
  <c r="O22" s="1"/>
  <c r="P22" s="1"/>
  <c r="N30" a="1"/>
  <c r="N30" s="1"/>
  <c r="O30" s="1"/>
  <c r="P30" s="1"/>
  <c r="N38" a="1"/>
  <c r="N38" s="1"/>
  <c r="O38" s="1"/>
  <c r="P38" s="1"/>
  <c r="N46" a="1"/>
  <c r="N46" s="1"/>
  <c r="O46" s="1"/>
  <c r="P46" s="1"/>
  <c r="N54" a="1"/>
  <c r="N54" s="1"/>
  <c r="O54" s="1"/>
  <c r="P54" s="1"/>
  <c r="N62" a="1"/>
  <c r="N62" s="1"/>
  <c r="O62" s="1"/>
  <c r="P62" s="1"/>
  <c r="N70" a="1"/>
  <c r="N70" s="1"/>
  <c r="O70" s="1"/>
  <c r="P70" s="1"/>
  <c r="N78" a="1"/>
  <c r="N78" s="1"/>
  <c r="O78" s="1"/>
  <c r="P78" s="1"/>
  <c r="N86" a="1"/>
  <c r="N86" s="1"/>
  <c r="O86" s="1"/>
  <c r="P86" s="1"/>
  <c r="N94" a="1"/>
  <c r="N94" s="1"/>
  <c r="O94" s="1"/>
  <c r="P94" s="1"/>
  <c r="N102" a="1"/>
  <c r="N102" s="1"/>
  <c r="O102" s="1"/>
  <c r="P102" s="1"/>
  <c r="N110" a="1"/>
  <c r="N110" s="1"/>
  <c r="O110" s="1"/>
  <c r="P110" s="1"/>
  <c r="N118" a="1"/>
  <c r="N118" s="1"/>
  <c r="O118" s="1"/>
  <c r="P118" s="1"/>
  <c r="N126" a="1"/>
  <c r="N126" s="1"/>
  <c r="O126" s="1"/>
  <c r="P126" s="1"/>
  <c r="N134" a="1"/>
  <c r="N134" s="1"/>
  <c r="O134" s="1"/>
  <c r="P134" s="1"/>
  <c r="N142" a="1"/>
  <c r="N142" s="1"/>
  <c r="O142" s="1"/>
  <c r="P142" s="1"/>
  <c r="N150" a="1"/>
  <c r="N150" s="1"/>
  <c r="O150" s="1"/>
  <c r="P150" s="1"/>
  <c r="N158" a="1"/>
  <c r="N158" s="1"/>
  <c r="O158" s="1"/>
  <c r="P158" s="1"/>
  <c r="N166" a="1"/>
  <c r="N166" s="1"/>
  <c r="O166" s="1"/>
  <c r="P166" s="1"/>
  <c r="N174" a="1"/>
  <c r="N174" s="1"/>
  <c r="O174" s="1"/>
  <c r="P174" s="1"/>
  <c r="N182" a="1"/>
  <c r="N182" s="1"/>
  <c r="O182" s="1"/>
  <c r="P182" s="1"/>
  <c r="N190" a="1"/>
  <c r="N190" s="1"/>
  <c r="O190" s="1"/>
  <c r="P190" s="1"/>
  <c r="N198" a="1"/>
  <c r="N198" s="1"/>
  <c r="O198" s="1"/>
  <c r="P198" s="1"/>
  <c r="N7" a="1"/>
  <c r="N7" s="1"/>
  <c r="N15" a="1"/>
  <c r="N15" s="1"/>
  <c r="N21" a="1"/>
  <c r="N21" s="1"/>
  <c r="O21" s="1"/>
  <c r="P21" s="1"/>
  <c r="N29" a="1"/>
  <c r="N29" s="1"/>
  <c r="O29" s="1"/>
  <c r="P29" s="1"/>
  <c r="N37" a="1"/>
  <c r="N37" s="1"/>
  <c r="O37" s="1"/>
  <c r="P37" s="1"/>
  <c r="N45" a="1"/>
  <c r="N45" s="1"/>
  <c r="O45" s="1"/>
  <c r="P45" s="1"/>
  <c r="N53" a="1"/>
  <c r="N53" s="1"/>
  <c r="O53" s="1"/>
  <c r="P53" s="1"/>
  <c r="N61" a="1"/>
  <c r="N61" s="1"/>
  <c r="O61" s="1"/>
  <c r="P61" s="1"/>
  <c r="N69" a="1"/>
  <c r="N69" s="1"/>
  <c r="O69" s="1"/>
  <c r="P69" s="1"/>
  <c r="N77" a="1"/>
  <c r="N77" s="1"/>
  <c r="O77" s="1"/>
  <c r="P77" s="1"/>
  <c r="N85" a="1"/>
  <c r="N85" s="1"/>
  <c r="O85" s="1"/>
  <c r="P85" s="1"/>
  <c r="N93" a="1"/>
  <c r="N93" s="1"/>
  <c r="O93" s="1"/>
  <c r="P93" s="1"/>
  <c r="N101" a="1"/>
  <c r="N101" s="1"/>
  <c r="O101" s="1"/>
  <c r="P101" s="1"/>
  <c r="N109" a="1"/>
  <c r="N109" s="1"/>
  <c r="O109" s="1"/>
  <c r="P109" s="1"/>
  <c r="N117" a="1"/>
  <c r="N117" s="1"/>
  <c r="O117" s="1"/>
  <c r="P117" s="1"/>
  <c r="N125" a="1"/>
  <c r="N125" s="1"/>
  <c r="O125" s="1"/>
  <c r="P125" s="1"/>
  <c r="N133" a="1"/>
  <c r="N133" s="1"/>
  <c r="O133" s="1"/>
  <c r="P133" s="1"/>
  <c r="N141" a="1"/>
  <c r="N141" s="1"/>
  <c r="O141" s="1"/>
  <c r="P141" s="1"/>
  <c r="N149" a="1"/>
  <c r="N149" s="1"/>
  <c r="O149" s="1"/>
  <c r="P149" s="1"/>
  <c r="N157" a="1"/>
  <c r="N157" s="1"/>
  <c r="O157" s="1"/>
  <c r="P157" s="1"/>
  <c r="N165" a="1"/>
  <c r="N165" s="1"/>
  <c r="O165" s="1"/>
  <c r="P165" s="1"/>
  <c r="N173" a="1"/>
  <c r="N173" s="1"/>
  <c r="O173" s="1"/>
  <c r="P173" s="1"/>
  <c r="N181" a="1"/>
  <c r="N181" s="1"/>
  <c r="O181" s="1"/>
  <c r="P181" s="1"/>
  <c r="N189" a="1"/>
  <c r="N189" s="1"/>
  <c r="O189" s="1"/>
  <c r="P189" s="1"/>
  <c r="N197" a="1"/>
  <c r="N197" s="1"/>
  <c r="O197" s="1"/>
  <c r="P197" s="1"/>
  <c r="N6" a="1"/>
  <c r="N6" s="1"/>
  <c r="N14" a="1"/>
  <c r="N14" s="1"/>
  <c r="N20" a="1"/>
  <c r="N20" s="1"/>
  <c r="O20" s="1"/>
  <c r="P20" s="1"/>
  <c r="N28" a="1"/>
  <c r="N28" s="1"/>
  <c r="O28" s="1"/>
  <c r="P28" s="1"/>
  <c r="N36" a="1"/>
  <c r="N36" s="1"/>
  <c r="O36" s="1"/>
  <c r="P36" s="1"/>
  <c r="N44" a="1"/>
  <c r="N44" s="1"/>
  <c r="O44" s="1"/>
  <c r="P44" s="1"/>
  <c r="N52" a="1"/>
  <c r="N52" s="1"/>
  <c r="O52" s="1"/>
  <c r="P52" s="1"/>
  <c r="N60" a="1"/>
  <c r="N60" s="1"/>
  <c r="O60" s="1"/>
  <c r="P60" s="1"/>
  <c r="N68" a="1"/>
  <c r="N68" s="1"/>
  <c r="O68" s="1"/>
  <c r="P68" s="1"/>
  <c r="N76" a="1"/>
  <c r="N76" s="1"/>
  <c r="O76" s="1"/>
  <c r="P76" s="1"/>
  <c r="N84" a="1"/>
  <c r="N84" s="1"/>
  <c r="O84" s="1"/>
  <c r="P84" s="1"/>
  <c r="N92" a="1"/>
  <c r="N92" s="1"/>
  <c r="O92" s="1"/>
  <c r="P92" s="1"/>
  <c r="N100" a="1"/>
  <c r="N100" s="1"/>
  <c r="O100" s="1"/>
  <c r="P100" s="1"/>
  <c r="N108" a="1"/>
  <c r="N108" s="1"/>
  <c r="O108" s="1"/>
  <c r="P108" s="1"/>
  <c r="N116" a="1"/>
  <c r="N116" s="1"/>
  <c r="O116" s="1"/>
  <c r="P116" s="1"/>
  <c r="N124" a="1"/>
  <c r="N124" s="1"/>
  <c r="O124" s="1"/>
  <c r="P124" s="1"/>
  <c r="N132" a="1"/>
  <c r="N132" s="1"/>
  <c r="O132" s="1"/>
  <c r="P132" s="1"/>
  <c r="N140" a="1"/>
  <c r="N140" s="1"/>
  <c r="O140" s="1"/>
  <c r="P140" s="1"/>
  <c r="N148" a="1"/>
  <c r="N148" s="1"/>
  <c r="O148" s="1"/>
  <c r="P148" s="1"/>
  <c r="N156" a="1"/>
  <c r="N156" s="1"/>
  <c r="O156" s="1"/>
  <c r="P156" s="1"/>
  <c r="N164" a="1"/>
  <c r="N164" s="1"/>
  <c r="O164" s="1"/>
  <c r="P164" s="1"/>
  <c r="N172" a="1"/>
  <c r="N172" s="1"/>
  <c r="O172" s="1"/>
  <c r="P172" s="1"/>
  <c r="N180" a="1"/>
  <c r="N180" s="1"/>
  <c r="O180" s="1"/>
  <c r="P180" s="1"/>
  <c r="N188" a="1"/>
  <c r="N188" s="1"/>
  <c r="O188" s="1"/>
  <c r="P188" s="1"/>
  <c r="N196" a="1"/>
  <c r="N196" s="1"/>
  <c r="O196" s="1"/>
  <c r="P196" s="1"/>
  <c r="N5" a="1"/>
  <c r="N5" s="1"/>
  <c r="N13" a="1"/>
  <c r="N13" s="1"/>
  <c r="N19" a="1"/>
  <c r="N19" s="1"/>
  <c r="O19" s="1"/>
  <c r="P19" s="1"/>
  <c r="N27" a="1"/>
  <c r="N27" s="1"/>
  <c r="O27" s="1"/>
  <c r="P27" s="1"/>
  <c r="N35" a="1"/>
  <c r="N35" s="1"/>
  <c r="O35" s="1"/>
  <c r="P35" s="1"/>
  <c r="N43" a="1"/>
  <c r="N43" s="1"/>
  <c r="O43" s="1"/>
  <c r="P43" s="1"/>
  <c r="N51" a="1"/>
  <c r="N51" s="1"/>
  <c r="O51" s="1"/>
  <c r="P51" s="1"/>
  <c r="N59" a="1"/>
  <c r="N59" s="1"/>
  <c r="O59" s="1"/>
  <c r="P59" s="1"/>
  <c r="N67" a="1"/>
  <c r="N67" s="1"/>
  <c r="O67" s="1"/>
  <c r="P67" s="1"/>
  <c r="N75" a="1"/>
  <c r="N75" s="1"/>
  <c r="O75" s="1"/>
  <c r="P75" s="1"/>
  <c r="N83" a="1"/>
  <c r="N83" s="1"/>
  <c r="O83" s="1"/>
  <c r="P83" s="1"/>
  <c r="N91" a="1"/>
  <c r="N91" s="1"/>
  <c r="O91" s="1"/>
  <c r="P91" s="1"/>
  <c r="N99" a="1"/>
  <c r="N99" s="1"/>
  <c r="O99" s="1"/>
  <c r="P99" s="1"/>
  <c r="N107" a="1"/>
  <c r="N107" s="1"/>
  <c r="O107" s="1"/>
  <c r="P107" s="1"/>
  <c r="N115" a="1"/>
  <c r="N115" s="1"/>
  <c r="O115" s="1"/>
  <c r="P115" s="1"/>
  <c r="N123" a="1"/>
  <c r="N123" s="1"/>
  <c r="O123" s="1"/>
  <c r="P123" s="1"/>
  <c r="N131" a="1"/>
  <c r="N131" s="1"/>
  <c r="O131" s="1"/>
  <c r="P131" s="1"/>
  <c r="N139" a="1"/>
  <c r="N139" s="1"/>
  <c r="O139" s="1"/>
  <c r="P139" s="1"/>
  <c r="N147" a="1"/>
  <c r="N147" s="1"/>
  <c r="O147" s="1"/>
  <c r="P147" s="1"/>
  <c r="N155" a="1"/>
  <c r="N155" s="1"/>
  <c r="O155" s="1"/>
  <c r="P155" s="1"/>
  <c r="N163" a="1"/>
  <c r="N163" s="1"/>
  <c r="O163" s="1"/>
  <c r="P163" s="1"/>
  <c r="N171" a="1"/>
  <c r="N171" s="1"/>
  <c r="O171" s="1"/>
  <c r="P171" s="1"/>
  <c r="N179" a="1"/>
  <c r="N179" s="1"/>
  <c r="O179" s="1"/>
  <c r="P179" s="1"/>
  <c r="N187" a="1"/>
  <c r="N187" s="1"/>
  <c r="O187" s="1"/>
  <c r="P187" s="1"/>
  <c r="N195" a="1"/>
  <c r="N195" s="1"/>
  <c r="O195" s="1"/>
  <c r="P195" s="1"/>
  <c r="N4" a="1"/>
  <c r="N4" s="1"/>
  <c r="N12" a="1"/>
  <c r="N12" s="1"/>
  <c r="N18" a="1"/>
  <c r="N18" s="1"/>
  <c r="O18" s="1"/>
  <c r="P18" s="1"/>
  <c r="N26" a="1"/>
  <c r="N26" s="1"/>
  <c r="O26" s="1"/>
  <c r="P26" s="1"/>
  <c r="N34" a="1"/>
  <c r="N34" s="1"/>
  <c r="O34" s="1"/>
  <c r="P34" s="1"/>
  <c r="N42" a="1"/>
  <c r="N42" s="1"/>
  <c r="O42" s="1"/>
  <c r="P42" s="1"/>
  <c r="N50" a="1"/>
  <c r="N50" s="1"/>
  <c r="O50" s="1"/>
  <c r="P50" s="1"/>
  <c r="N58" a="1"/>
  <c r="N58" s="1"/>
  <c r="O58" s="1"/>
  <c r="P58" s="1"/>
  <c r="N66" a="1"/>
  <c r="N66" s="1"/>
  <c r="O66" s="1"/>
  <c r="P66" s="1"/>
  <c r="N74" a="1"/>
  <c r="N74" s="1"/>
  <c r="O74" s="1"/>
  <c r="P74" s="1"/>
  <c r="N82" a="1"/>
  <c r="N82" s="1"/>
  <c r="O82" s="1"/>
  <c r="P82" s="1"/>
  <c r="N90" a="1"/>
  <c r="N90" s="1"/>
  <c r="O90" s="1"/>
  <c r="P90" s="1"/>
  <c r="N98" a="1"/>
  <c r="N98" s="1"/>
  <c r="O98" s="1"/>
  <c r="P98" s="1"/>
  <c r="N106" a="1"/>
  <c r="N106" s="1"/>
  <c r="O106" s="1"/>
  <c r="P106" s="1"/>
  <c r="N114" a="1"/>
  <c r="N114" s="1"/>
  <c r="O114" s="1"/>
  <c r="P114" s="1"/>
  <c r="N122" a="1"/>
  <c r="N122" s="1"/>
  <c r="O122" s="1"/>
  <c r="P122" s="1"/>
  <c r="N130" a="1"/>
  <c r="N130" s="1"/>
  <c r="O130" s="1"/>
  <c r="P130" s="1"/>
  <c r="N138" a="1"/>
  <c r="N138" s="1"/>
  <c r="O138" s="1"/>
  <c r="P138" s="1"/>
  <c r="N146" a="1"/>
  <c r="N146" s="1"/>
  <c r="O146" s="1"/>
  <c r="P146" s="1"/>
  <c r="N154" a="1"/>
  <c r="N154" s="1"/>
  <c r="O154" s="1"/>
  <c r="P154" s="1"/>
  <c r="N162" a="1"/>
  <c r="N162" s="1"/>
  <c r="O162" s="1"/>
  <c r="P162" s="1"/>
  <c r="N170" a="1"/>
  <c r="N170" s="1"/>
  <c r="O170" s="1"/>
  <c r="P170" s="1"/>
  <c r="N178" a="1"/>
  <c r="N178" s="1"/>
  <c r="O178" s="1"/>
  <c r="P178" s="1"/>
  <c r="N186" a="1"/>
  <c r="N186" s="1"/>
  <c r="O186" s="1"/>
  <c r="P186" s="1"/>
  <c r="N194" a="1"/>
  <c r="N194" s="1"/>
  <c r="O194" s="1"/>
  <c r="P194" s="1"/>
  <c r="N3" a="1"/>
  <c r="N3" s="1"/>
  <c r="N11" a="1"/>
  <c r="N11" s="1"/>
  <c r="N17" a="1"/>
  <c r="N17" s="1"/>
  <c r="O17" s="1"/>
  <c r="P17" s="1"/>
  <c r="N25" a="1"/>
  <c r="N25" s="1"/>
  <c r="O25" s="1"/>
  <c r="P25" s="1"/>
  <c r="N33" a="1"/>
  <c r="N33" s="1"/>
  <c r="O33" s="1"/>
  <c r="P33" s="1"/>
  <c r="N41" a="1"/>
  <c r="N41" s="1"/>
  <c r="O41" s="1"/>
  <c r="P41" s="1"/>
  <c r="N49" a="1"/>
  <c r="N49" s="1"/>
  <c r="O49" s="1"/>
  <c r="P49" s="1"/>
  <c r="N57" a="1"/>
  <c r="N57" s="1"/>
  <c r="O57" s="1"/>
  <c r="P57" s="1"/>
  <c r="N65" a="1"/>
  <c r="N65" s="1"/>
  <c r="O65" s="1"/>
  <c r="P65" s="1"/>
  <c r="N73" a="1"/>
  <c r="N73" s="1"/>
  <c r="O73" s="1"/>
  <c r="P73" s="1"/>
  <c r="N81" a="1"/>
  <c r="N81" s="1"/>
  <c r="O81" s="1"/>
  <c r="P81" s="1"/>
  <c r="N89" a="1"/>
  <c r="N89" s="1"/>
  <c r="O89" s="1"/>
  <c r="P89" s="1"/>
  <c r="N97" a="1"/>
  <c r="N97" s="1"/>
  <c r="O97" s="1"/>
  <c r="P97" s="1"/>
  <c r="N105" a="1"/>
  <c r="N105" s="1"/>
  <c r="O105" s="1"/>
  <c r="P105" s="1"/>
  <c r="N113" a="1"/>
  <c r="N113" s="1"/>
  <c r="O113" s="1"/>
  <c r="P113" s="1"/>
  <c r="N121" a="1"/>
  <c r="N121" s="1"/>
  <c r="O121" s="1"/>
  <c r="P121" s="1"/>
  <c r="N129" a="1"/>
  <c r="N129" s="1"/>
  <c r="O129" s="1"/>
  <c r="P129" s="1"/>
  <c r="N137" a="1"/>
  <c r="N137" s="1"/>
  <c r="O137" s="1"/>
  <c r="P137" s="1"/>
  <c r="N145" a="1"/>
  <c r="N145" s="1"/>
  <c r="O145" s="1"/>
  <c r="P145" s="1"/>
  <c r="N153" a="1"/>
  <c r="N153" s="1"/>
  <c r="O153" s="1"/>
  <c r="P153" s="1"/>
  <c r="N161" a="1"/>
  <c r="N161" s="1"/>
  <c r="O161" s="1"/>
  <c r="P161" s="1"/>
  <c r="N169" a="1"/>
  <c r="N169" s="1"/>
  <c r="O169" s="1"/>
  <c r="P169" s="1"/>
  <c r="N177" a="1"/>
  <c r="N177" s="1"/>
  <c r="O177" s="1"/>
  <c r="P177" s="1"/>
  <c r="N185" a="1"/>
  <c r="N185" s="1"/>
  <c r="O185" s="1"/>
  <c r="P185" s="1"/>
  <c r="N193" a="1"/>
  <c r="N193" s="1"/>
  <c r="O193" s="1"/>
  <c r="P193" s="1"/>
  <c r="N201" a="1"/>
  <c r="N201" s="1"/>
  <c r="O201" s="1"/>
  <c r="P201" s="1"/>
  <c r="N10" a="1"/>
  <c r="N10" s="1"/>
  <c r="O15" l="1"/>
  <c r="O14"/>
  <c r="O9"/>
  <c r="O4"/>
  <c r="O6"/>
  <c r="O7"/>
  <c r="O8"/>
  <c r="O12"/>
  <c r="O13"/>
  <c r="O10"/>
  <c r="O5"/>
  <c r="O3"/>
  <c r="O2"/>
  <c r="O11"/>
  <c r="P15" l="1"/>
  <c r="P14"/>
  <c r="P9"/>
  <c r="P6"/>
  <c r="P13"/>
  <c r="P10"/>
  <c r="P3"/>
  <c r="P12"/>
  <c r="P4"/>
  <c r="P8"/>
  <c r="P5"/>
  <c r="P2"/>
  <c r="P7"/>
  <c r="P11"/>
  <c r="R6" i="2" l="1"/>
  <c r="S5" a="1"/>
  <c r="S5" s="1"/>
  <c r="R5"/>
  <c r="I2" i="5"/>
  <c r="J5" s="1" a="1"/>
  <c r="J5" s="1"/>
  <c r="J200" a="1"/>
  <c r="J200" s="1"/>
  <c r="I1"/>
  <c r="F6" i="2"/>
  <c r="F7"/>
  <c r="F8"/>
  <c r="J5" i="9"/>
  <c r="K5"/>
  <c r="L5"/>
  <c r="B5"/>
  <c r="C5"/>
  <c r="D5"/>
  <c r="E5"/>
  <c r="F5"/>
  <c r="G5"/>
  <c r="H5"/>
  <c r="I5"/>
  <c r="A5"/>
  <c r="A2" s="1"/>
  <c r="C1" i="11"/>
  <c r="D10" s="1"/>
  <c r="B5"/>
  <c r="C5" s="1"/>
  <c r="B6"/>
  <c r="C6"/>
  <c r="B7"/>
  <c r="C7" s="1"/>
  <c r="B8"/>
  <c r="C8" s="1"/>
  <c r="B9"/>
  <c r="C9" s="1"/>
  <c r="B10"/>
  <c r="C10" s="1"/>
  <c r="B11"/>
  <c r="C11"/>
  <c r="B12"/>
  <c r="C12" s="1"/>
  <c r="B13"/>
  <c r="C13" s="1"/>
  <c r="B14"/>
  <c r="C14" s="1"/>
  <c r="B15"/>
  <c r="C15" s="1"/>
  <c r="B4"/>
  <c r="C4" s="1"/>
  <c r="F5" i="2"/>
  <c r="L6" i="9"/>
  <c r="I9"/>
  <c r="J9"/>
  <c r="E6"/>
  <c r="B6"/>
  <c r="J6"/>
  <c r="G6"/>
  <c r="H9"/>
  <c r="F9"/>
  <c r="E9"/>
  <c r="K6"/>
  <c r="D9"/>
  <c r="C9"/>
  <c r="F6"/>
  <c r="B9"/>
  <c r="H6"/>
  <c r="C6"/>
  <c r="A6"/>
  <c r="D6"/>
  <c r="L9"/>
  <c r="K9"/>
  <c r="A9"/>
  <c r="G9"/>
  <c r="I6"/>
  <c r="J192" i="5" l="1" a="1"/>
  <c r="J192" s="1"/>
  <c r="K192" s="1"/>
  <c r="L192" s="1"/>
  <c r="J128" a="1"/>
  <c r="J128" s="1"/>
  <c r="K128" s="1"/>
  <c r="L128" s="1"/>
  <c r="J136" a="1"/>
  <c r="J136" s="1"/>
  <c r="K136" s="1"/>
  <c r="L136" s="1"/>
  <c r="J144" a="1"/>
  <c r="J144" s="1"/>
  <c r="K144" s="1"/>
  <c r="L144" s="1"/>
  <c r="J152" a="1"/>
  <c r="J152" s="1"/>
  <c r="K152" s="1"/>
  <c r="L152" s="1"/>
  <c r="K200"/>
  <c r="L200" s="1"/>
  <c r="J160" a="1"/>
  <c r="J160" s="1"/>
  <c r="J27" a="1"/>
  <c r="J27" s="1"/>
  <c r="J168" a="1"/>
  <c r="J168" s="1"/>
  <c r="J50" a="1"/>
  <c r="J50" s="1"/>
  <c r="J176" a="1"/>
  <c r="J176" s="1"/>
  <c r="J91" a="1"/>
  <c r="J91" s="1"/>
  <c r="J184" a="1"/>
  <c r="J184" s="1"/>
  <c r="J114" a="1"/>
  <c r="J114" s="1"/>
  <c r="J73" a="1"/>
  <c r="J73" s="1"/>
  <c r="J197" a="1"/>
  <c r="J197" s="1"/>
  <c r="J189" a="1"/>
  <c r="J189" s="1"/>
  <c r="J181" a="1"/>
  <c r="J181" s="1"/>
  <c r="J173" a="1"/>
  <c r="J173" s="1"/>
  <c r="J165" a="1"/>
  <c r="J165" s="1"/>
  <c r="J157" a="1"/>
  <c r="J157" s="1"/>
  <c r="J149" a="1"/>
  <c r="J149" s="1"/>
  <c r="J141" a="1"/>
  <c r="J141" s="1"/>
  <c r="J133" a="1"/>
  <c r="J133" s="1"/>
  <c r="J125" a="1"/>
  <c r="J125" s="1"/>
  <c r="J106" a="1"/>
  <c r="J106" s="1"/>
  <c r="J83" a="1"/>
  <c r="J83" s="1"/>
  <c r="J65" a="1"/>
  <c r="J65" s="1"/>
  <c r="J42" a="1"/>
  <c r="J42" s="1"/>
  <c r="J19" a="1"/>
  <c r="J19" s="1"/>
  <c r="J198" a="1"/>
  <c r="J198" s="1"/>
  <c r="J190" a="1"/>
  <c r="J190" s="1"/>
  <c r="J182" a="1"/>
  <c r="J182" s="1"/>
  <c r="J174" a="1"/>
  <c r="J174" s="1"/>
  <c r="J166" a="1"/>
  <c r="J166" s="1"/>
  <c r="J158" a="1"/>
  <c r="J158" s="1"/>
  <c r="J150" a="1"/>
  <c r="J150" s="1"/>
  <c r="J142" a="1"/>
  <c r="J142" s="1"/>
  <c r="J134" a="1"/>
  <c r="J134" s="1"/>
  <c r="J126" a="1"/>
  <c r="J126" s="1"/>
  <c r="J107" a="1"/>
  <c r="J107" s="1"/>
  <c r="J89" a="1"/>
  <c r="J89" s="1"/>
  <c r="J66" a="1"/>
  <c r="J66" s="1"/>
  <c r="J43" a="1"/>
  <c r="J43" s="1"/>
  <c r="J25" a="1"/>
  <c r="J25" s="1"/>
  <c r="J199" a="1"/>
  <c r="J199" s="1"/>
  <c r="J191" a="1"/>
  <c r="J191" s="1"/>
  <c r="J183" a="1"/>
  <c r="J183" s="1"/>
  <c r="J175" a="1"/>
  <c r="J175" s="1"/>
  <c r="J167" a="1"/>
  <c r="J167" s="1"/>
  <c r="J159" a="1"/>
  <c r="J159" s="1"/>
  <c r="J151" a="1"/>
  <c r="J151" s="1"/>
  <c r="J143" a="1"/>
  <c r="J143" s="1"/>
  <c r="J135" a="1"/>
  <c r="J135" s="1"/>
  <c r="J127" a="1"/>
  <c r="J127" s="1"/>
  <c r="J113" a="1"/>
  <c r="J113" s="1"/>
  <c r="J90" a="1"/>
  <c r="J90" s="1"/>
  <c r="J67" a="1"/>
  <c r="J67" s="1"/>
  <c r="J49" a="1"/>
  <c r="J49" s="1"/>
  <c r="J26" a="1"/>
  <c r="J26" s="1"/>
  <c r="J201" a="1"/>
  <c r="J201" s="1"/>
  <c r="J193" a="1"/>
  <c r="J193" s="1"/>
  <c r="J185" a="1"/>
  <c r="J185" s="1"/>
  <c r="J177" a="1"/>
  <c r="J177" s="1"/>
  <c r="J169" a="1"/>
  <c r="J169" s="1"/>
  <c r="J161" a="1"/>
  <c r="J161" s="1"/>
  <c r="J153" a="1"/>
  <c r="J153" s="1"/>
  <c r="J145" a="1"/>
  <c r="J145" s="1"/>
  <c r="J137" a="1"/>
  <c r="J137" s="1"/>
  <c r="J129" a="1"/>
  <c r="J129" s="1"/>
  <c r="J115" a="1"/>
  <c r="J115" s="1"/>
  <c r="J97" a="1"/>
  <c r="J97" s="1"/>
  <c r="J74" a="1"/>
  <c r="J74" s="1"/>
  <c r="J51" a="1"/>
  <c r="J51" s="1"/>
  <c r="J33" a="1"/>
  <c r="J33" s="1"/>
  <c r="J9" a="1"/>
  <c r="J9" s="1"/>
  <c r="J194" a="1"/>
  <c r="J194" s="1"/>
  <c r="J186" a="1"/>
  <c r="J186" s="1"/>
  <c r="J178" a="1"/>
  <c r="J178" s="1"/>
  <c r="J170" a="1"/>
  <c r="J170" s="1"/>
  <c r="J162" a="1"/>
  <c r="J162" s="1"/>
  <c r="J154" a="1"/>
  <c r="J154" s="1"/>
  <c r="J146" a="1"/>
  <c r="J146" s="1"/>
  <c r="J138" a="1"/>
  <c r="J138" s="1"/>
  <c r="J130" a="1"/>
  <c r="J130" s="1"/>
  <c r="J121" a="1"/>
  <c r="J121" s="1"/>
  <c r="J98" a="1"/>
  <c r="J98" s="1"/>
  <c r="J75" a="1"/>
  <c r="J75" s="1"/>
  <c r="J57" a="1"/>
  <c r="J57" s="1"/>
  <c r="J34" a="1"/>
  <c r="J34" s="1"/>
  <c r="J11" a="1"/>
  <c r="J11" s="1"/>
  <c r="J195" a="1"/>
  <c r="J195" s="1"/>
  <c r="J187" a="1"/>
  <c r="J187" s="1"/>
  <c r="J179" a="1"/>
  <c r="J179" s="1"/>
  <c r="J171" a="1"/>
  <c r="J171" s="1"/>
  <c r="J163" a="1"/>
  <c r="J163" s="1"/>
  <c r="J155" a="1"/>
  <c r="J155" s="1"/>
  <c r="J147" a="1"/>
  <c r="J147" s="1"/>
  <c r="J139" a="1"/>
  <c r="J139" s="1"/>
  <c r="J131" a="1"/>
  <c r="J131" s="1"/>
  <c r="J122" a="1"/>
  <c r="J122" s="1"/>
  <c r="J99" a="1"/>
  <c r="J99" s="1"/>
  <c r="J81" a="1"/>
  <c r="J81" s="1"/>
  <c r="J58" a="1"/>
  <c r="J58" s="1"/>
  <c r="J35" a="1"/>
  <c r="J35" s="1"/>
  <c r="J17" a="1"/>
  <c r="J17" s="1"/>
  <c r="J196" a="1"/>
  <c r="J196" s="1"/>
  <c r="J188" a="1"/>
  <c r="J188" s="1"/>
  <c r="J180" a="1"/>
  <c r="J180" s="1"/>
  <c r="J172" a="1"/>
  <c r="J172" s="1"/>
  <c r="J164" a="1"/>
  <c r="J164" s="1"/>
  <c r="J156" a="1"/>
  <c r="J156" s="1"/>
  <c r="J148" a="1"/>
  <c r="J148" s="1"/>
  <c r="J140" a="1"/>
  <c r="J140" s="1"/>
  <c r="J132" a="1"/>
  <c r="J132" s="1"/>
  <c r="J123" a="1"/>
  <c r="J123" s="1"/>
  <c r="J105" a="1"/>
  <c r="J105" s="1"/>
  <c r="J82" a="1"/>
  <c r="J82" s="1"/>
  <c r="J59" a="1"/>
  <c r="J59" s="1"/>
  <c r="J41" a="1"/>
  <c r="J41" s="1"/>
  <c r="J18" a="1"/>
  <c r="J18" s="1"/>
  <c r="J120" a="1"/>
  <c r="J120" s="1"/>
  <c r="J112" a="1"/>
  <c r="J112" s="1"/>
  <c r="J104" a="1"/>
  <c r="J104" s="1"/>
  <c r="J96" a="1"/>
  <c r="J96" s="1"/>
  <c r="J88" a="1"/>
  <c r="J88" s="1"/>
  <c r="J80" a="1"/>
  <c r="J80" s="1"/>
  <c r="J72" a="1"/>
  <c r="J72" s="1"/>
  <c r="J64" a="1"/>
  <c r="J64" s="1"/>
  <c r="J56" a="1"/>
  <c r="J56" s="1"/>
  <c r="J48" a="1"/>
  <c r="J48" s="1"/>
  <c r="J40" a="1"/>
  <c r="J40" s="1"/>
  <c r="J32" a="1"/>
  <c r="J32" s="1"/>
  <c r="J24" a="1"/>
  <c r="J24" s="1"/>
  <c r="J16" a="1"/>
  <c r="J16" s="1"/>
  <c r="J8" a="1"/>
  <c r="J8" s="1"/>
  <c r="J10" a="1"/>
  <c r="J10" s="1"/>
  <c r="J124" a="1"/>
  <c r="J124" s="1"/>
  <c r="J116" a="1"/>
  <c r="J116" s="1"/>
  <c r="J108" a="1"/>
  <c r="J108" s="1"/>
  <c r="J100" a="1"/>
  <c r="J100" s="1"/>
  <c r="J92" a="1"/>
  <c r="J92" s="1"/>
  <c r="J84" a="1"/>
  <c r="J84" s="1"/>
  <c r="J76" a="1"/>
  <c r="J76" s="1"/>
  <c r="J68" a="1"/>
  <c r="J68" s="1"/>
  <c r="J60" a="1"/>
  <c r="J60" s="1"/>
  <c r="J52" a="1"/>
  <c r="J52" s="1"/>
  <c r="J44" a="1"/>
  <c r="J44" s="1"/>
  <c r="J36" a="1"/>
  <c r="J36" s="1"/>
  <c r="J28" a="1"/>
  <c r="J28" s="1"/>
  <c r="J20" a="1"/>
  <c r="J20" s="1"/>
  <c r="J12" a="1"/>
  <c r="J12" s="1"/>
  <c r="J2" a="1"/>
  <c r="J2" s="1"/>
  <c r="J117" a="1"/>
  <c r="J117" s="1"/>
  <c r="J109" a="1"/>
  <c r="J109" s="1"/>
  <c r="J101" a="1"/>
  <c r="J101" s="1"/>
  <c r="J93" a="1"/>
  <c r="J93" s="1"/>
  <c r="J85" a="1"/>
  <c r="J85" s="1"/>
  <c r="J77" a="1"/>
  <c r="J77" s="1"/>
  <c r="J69" a="1"/>
  <c r="J69" s="1"/>
  <c r="J61" a="1"/>
  <c r="J61" s="1"/>
  <c r="J53" a="1"/>
  <c r="J53" s="1"/>
  <c r="J45" a="1"/>
  <c r="J45" s="1"/>
  <c r="J37" a="1"/>
  <c r="J37" s="1"/>
  <c r="J29" a="1"/>
  <c r="J29" s="1"/>
  <c r="J21" a="1"/>
  <c r="J21" s="1"/>
  <c r="J13" a="1"/>
  <c r="J13" s="1"/>
  <c r="J3" a="1"/>
  <c r="J3" s="1"/>
  <c r="J118" a="1"/>
  <c r="J118" s="1"/>
  <c r="J110" a="1"/>
  <c r="J110" s="1"/>
  <c r="J102" a="1"/>
  <c r="J102" s="1"/>
  <c r="J94" a="1"/>
  <c r="J94" s="1"/>
  <c r="J86" a="1"/>
  <c r="J86" s="1"/>
  <c r="J78" a="1"/>
  <c r="J78" s="1"/>
  <c r="J70" a="1"/>
  <c r="J70" s="1"/>
  <c r="J62" a="1"/>
  <c r="J62" s="1"/>
  <c r="J54" a="1"/>
  <c r="J54" s="1"/>
  <c r="J46" a="1"/>
  <c r="J46" s="1"/>
  <c r="J38" a="1"/>
  <c r="J38" s="1"/>
  <c r="J30" a="1"/>
  <c r="J30" s="1"/>
  <c r="J22" a="1"/>
  <c r="J22" s="1"/>
  <c r="J14" a="1"/>
  <c r="J14" s="1"/>
  <c r="J6" a="1"/>
  <c r="J6" s="1"/>
  <c r="J119" a="1"/>
  <c r="J119" s="1"/>
  <c r="J111" a="1"/>
  <c r="J111" s="1"/>
  <c r="J103" a="1"/>
  <c r="J103" s="1"/>
  <c r="J95" a="1"/>
  <c r="J95" s="1"/>
  <c r="J87" a="1"/>
  <c r="J87" s="1"/>
  <c r="J79" a="1"/>
  <c r="J79" s="1"/>
  <c r="J71" a="1"/>
  <c r="J71" s="1"/>
  <c r="J63" a="1"/>
  <c r="J63" s="1"/>
  <c r="J55" a="1"/>
  <c r="J55" s="1"/>
  <c r="J47" a="1"/>
  <c r="J47" s="1"/>
  <c r="J39" a="1"/>
  <c r="J39" s="1"/>
  <c r="J31" a="1"/>
  <c r="J31" s="1"/>
  <c r="J23" a="1"/>
  <c r="J23" s="1"/>
  <c r="J15" a="1"/>
  <c r="J15" s="1"/>
  <c r="J7" a="1"/>
  <c r="J7" s="1"/>
  <c r="D11" i="11"/>
  <c r="J4" i="5" a="1"/>
  <c r="J4" s="1"/>
  <c r="D12" i="11"/>
  <c r="D13"/>
  <c r="D5"/>
  <c r="D4"/>
  <c r="D8"/>
  <c r="D14"/>
  <c r="D6"/>
  <c r="D9"/>
  <c r="D15"/>
  <c r="D7"/>
  <c r="C2" i="9"/>
  <c r="K4" i="5" l="1"/>
  <c r="K5"/>
  <c r="K39"/>
  <c r="L39" s="1"/>
  <c r="K103"/>
  <c r="L103" s="1"/>
  <c r="K46"/>
  <c r="L46" s="1"/>
  <c r="K110"/>
  <c r="L110" s="1"/>
  <c r="K53"/>
  <c r="L53" s="1"/>
  <c r="K117"/>
  <c r="L117" s="1"/>
  <c r="K60"/>
  <c r="L60" s="1"/>
  <c r="K124"/>
  <c r="L124" s="1"/>
  <c r="K56"/>
  <c r="L56" s="1"/>
  <c r="K120"/>
  <c r="L120" s="1"/>
  <c r="K140"/>
  <c r="L140" s="1"/>
  <c r="K17"/>
  <c r="L17" s="1"/>
  <c r="K147"/>
  <c r="L147" s="1"/>
  <c r="K34"/>
  <c r="L34" s="1"/>
  <c r="K154"/>
  <c r="L154" s="1"/>
  <c r="K51"/>
  <c r="L51" s="1"/>
  <c r="K161"/>
  <c r="L161" s="1"/>
  <c r="K67"/>
  <c r="L67" s="1"/>
  <c r="K167"/>
  <c r="L167" s="1"/>
  <c r="K89"/>
  <c r="L89" s="1"/>
  <c r="K174"/>
  <c r="L174" s="1"/>
  <c r="K106"/>
  <c r="L106" s="1"/>
  <c r="K181"/>
  <c r="L181" s="1"/>
  <c r="K50"/>
  <c r="L50" s="1"/>
  <c r="K31"/>
  <c r="L31" s="1"/>
  <c r="K95"/>
  <c r="L95" s="1"/>
  <c r="K38"/>
  <c r="L38" s="1"/>
  <c r="K102"/>
  <c r="L102" s="1"/>
  <c r="K45"/>
  <c r="L45" s="1"/>
  <c r="K109"/>
  <c r="L109" s="1"/>
  <c r="K52"/>
  <c r="L52" s="1"/>
  <c r="K116"/>
  <c r="L116" s="1"/>
  <c r="K48"/>
  <c r="L48" s="1"/>
  <c r="K112"/>
  <c r="L112" s="1"/>
  <c r="K132"/>
  <c r="L132" s="1"/>
  <c r="K196"/>
  <c r="L196" s="1"/>
  <c r="K139"/>
  <c r="L139" s="1"/>
  <c r="K146"/>
  <c r="L146" s="1"/>
  <c r="K33"/>
  <c r="L33" s="1"/>
  <c r="K153"/>
  <c r="L153" s="1"/>
  <c r="K49"/>
  <c r="L49" s="1"/>
  <c r="K159"/>
  <c r="L159" s="1"/>
  <c r="K66"/>
  <c r="L66" s="1"/>
  <c r="K166"/>
  <c r="L166" s="1"/>
  <c r="K83"/>
  <c r="L83" s="1"/>
  <c r="K173"/>
  <c r="L173" s="1"/>
  <c r="K176"/>
  <c r="L176" s="1"/>
  <c r="K11"/>
  <c r="K23"/>
  <c r="L23" s="1"/>
  <c r="K87"/>
  <c r="L87" s="1"/>
  <c r="K30"/>
  <c r="L30" s="1"/>
  <c r="K94"/>
  <c r="L94" s="1"/>
  <c r="K37"/>
  <c r="L37" s="1"/>
  <c r="K101"/>
  <c r="L101" s="1"/>
  <c r="K44"/>
  <c r="L44" s="1"/>
  <c r="K108"/>
  <c r="L108" s="1"/>
  <c r="K40"/>
  <c r="L40" s="1"/>
  <c r="K104"/>
  <c r="L104" s="1"/>
  <c r="K123"/>
  <c r="L123" s="1"/>
  <c r="K188"/>
  <c r="L188" s="1"/>
  <c r="K131"/>
  <c r="L131" s="1"/>
  <c r="K195"/>
  <c r="L195" s="1"/>
  <c r="K138"/>
  <c r="L138" s="1"/>
  <c r="K145"/>
  <c r="L145" s="1"/>
  <c r="K26"/>
  <c r="L26" s="1"/>
  <c r="K151"/>
  <c r="L151" s="1"/>
  <c r="K43"/>
  <c r="L43" s="1"/>
  <c r="K158"/>
  <c r="L158" s="1"/>
  <c r="K65"/>
  <c r="L65" s="1"/>
  <c r="K165"/>
  <c r="L165" s="1"/>
  <c r="K91"/>
  <c r="L91" s="1"/>
  <c r="K9"/>
  <c r="K15"/>
  <c r="K79"/>
  <c r="L79" s="1"/>
  <c r="K22"/>
  <c r="L22" s="1"/>
  <c r="K86"/>
  <c r="L86" s="1"/>
  <c r="K29"/>
  <c r="L29" s="1"/>
  <c r="K93"/>
  <c r="L93" s="1"/>
  <c r="K36"/>
  <c r="L36" s="1"/>
  <c r="K100"/>
  <c r="L100" s="1"/>
  <c r="K32"/>
  <c r="L32" s="1"/>
  <c r="K96"/>
  <c r="L96" s="1"/>
  <c r="K105"/>
  <c r="L105" s="1"/>
  <c r="K180"/>
  <c r="L180" s="1"/>
  <c r="K122"/>
  <c r="L122" s="1"/>
  <c r="K187"/>
  <c r="L187" s="1"/>
  <c r="K130"/>
  <c r="L130" s="1"/>
  <c r="K194"/>
  <c r="L194" s="1"/>
  <c r="K137"/>
  <c r="L137" s="1"/>
  <c r="K201"/>
  <c r="L201" s="1"/>
  <c r="K143"/>
  <c r="L143" s="1"/>
  <c r="K25"/>
  <c r="L25" s="1"/>
  <c r="K150"/>
  <c r="L150" s="1"/>
  <c r="K42"/>
  <c r="L42" s="1"/>
  <c r="K157"/>
  <c r="L157" s="1"/>
  <c r="K184"/>
  <c r="L184" s="1"/>
  <c r="K71"/>
  <c r="L71" s="1"/>
  <c r="K14"/>
  <c r="K78"/>
  <c r="L78" s="1"/>
  <c r="K21"/>
  <c r="L21" s="1"/>
  <c r="K85"/>
  <c r="L85" s="1"/>
  <c r="K28"/>
  <c r="L28" s="1"/>
  <c r="K92"/>
  <c r="L92" s="1"/>
  <c r="K24"/>
  <c r="L24" s="1"/>
  <c r="K88"/>
  <c r="L88" s="1"/>
  <c r="K82"/>
  <c r="L82" s="1"/>
  <c r="K172"/>
  <c r="L172" s="1"/>
  <c r="K99"/>
  <c r="L99" s="1"/>
  <c r="K179"/>
  <c r="L179" s="1"/>
  <c r="K121"/>
  <c r="L121" s="1"/>
  <c r="K186"/>
  <c r="L186" s="1"/>
  <c r="K129"/>
  <c r="L129" s="1"/>
  <c r="K193"/>
  <c r="L193" s="1"/>
  <c r="K135"/>
  <c r="L135" s="1"/>
  <c r="K199"/>
  <c r="L199" s="1"/>
  <c r="K142"/>
  <c r="L142" s="1"/>
  <c r="K19"/>
  <c r="L19" s="1"/>
  <c r="K149"/>
  <c r="L149" s="1"/>
  <c r="K114"/>
  <c r="L114" s="1"/>
  <c r="K7"/>
  <c r="K63"/>
  <c r="L63" s="1"/>
  <c r="K70"/>
  <c r="L70" s="1"/>
  <c r="K77"/>
  <c r="L77" s="1"/>
  <c r="K20"/>
  <c r="L20" s="1"/>
  <c r="K84"/>
  <c r="L84" s="1"/>
  <c r="K16"/>
  <c r="L16" s="1"/>
  <c r="K80"/>
  <c r="L80" s="1"/>
  <c r="K59"/>
  <c r="L59" s="1"/>
  <c r="K164"/>
  <c r="L164" s="1"/>
  <c r="K81"/>
  <c r="L81" s="1"/>
  <c r="K171"/>
  <c r="L171" s="1"/>
  <c r="K98"/>
  <c r="L98" s="1"/>
  <c r="K178"/>
  <c r="L178" s="1"/>
  <c r="K115"/>
  <c r="L115" s="1"/>
  <c r="K185"/>
  <c r="L185" s="1"/>
  <c r="K127"/>
  <c r="L127" s="1"/>
  <c r="K191"/>
  <c r="L191" s="1"/>
  <c r="K134"/>
  <c r="L134" s="1"/>
  <c r="K198"/>
  <c r="L198" s="1"/>
  <c r="K141"/>
  <c r="L141" s="1"/>
  <c r="K73"/>
  <c r="L73" s="1"/>
  <c r="K160"/>
  <c r="L160" s="1"/>
  <c r="K6"/>
  <c r="K13"/>
  <c r="K55"/>
  <c r="L55" s="1"/>
  <c r="K119"/>
  <c r="L119" s="1"/>
  <c r="K62"/>
  <c r="L62" s="1"/>
  <c r="K69"/>
  <c r="L69" s="1"/>
  <c r="K76"/>
  <c r="L76" s="1"/>
  <c r="K72"/>
  <c r="L72" s="1"/>
  <c r="K41"/>
  <c r="L41" s="1"/>
  <c r="K156"/>
  <c r="L156" s="1"/>
  <c r="K58"/>
  <c r="L58" s="1"/>
  <c r="K163"/>
  <c r="L163" s="1"/>
  <c r="K75"/>
  <c r="L75" s="1"/>
  <c r="K170"/>
  <c r="L170" s="1"/>
  <c r="K97"/>
  <c r="L97" s="1"/>
  <c r="K177"/>
  <c r="L177" s="1"/>
  <c r="K113"/>
  <c r="L113" s="1"/>
  <c r="K183"/>
  <c r="L183" s="1"/>
  <c r="K126"/>
  <c r="L126" s="1"/>
  <c r="K190"/>
  <c r="L190" s="1"/>
  <c r="K133"/>
  <c r="L133" s="1"/>
  <c r="K197"/>
  <c r="L197" s="1"/>
  <c r="K27"/>
  <c r="L27" s="1"/>
  <c r="K3"/>
  <c r="K12"/>
  <c r="K8"/>
  <c r="K47"/>
  <c r="L47" s="1"/>
  <c r="K111"/>
  <c r="L111" s="1"/>
  <c r="K54"/>
  <c r="L54" s="1"/>
  <c r="K118"/>
  <c r="L118" s="1"/>
  <c r="K61"/>
  <c r="L61" s="1"/>
  <c r="K68"/>
  <c r="L68" s="1"/>
  <c r="K64"/>
  <c r="L64" s="1"/>
  <c r="K18"/>
  <c r="L18" s="1"/>
  <c r="K148"/>
  <c r="L148" s="1"/>
  <c r="K35"/>
  <c r="L35" s="1"/>
  <c r="K155"/>
  <c r="L155" s="1"/>
  <c r="K57"/>
  <c r="L57" s="1"/>
  <c r="K162"/>
  <c r="L162" s="1"/>
  <c r="K74"/>
  <c r="L74" s="1"/>
  <c r="K169"/>
  <c r="L169" s="1"/>
  <c r="K90"/>
  <c r="L90" s="1"/>
  <c r="K175"/>
  <c r="L175" s="1"/>
  <c r="K107"/>
  <c r="L107" s="1"/>
  <c r="K182"/>
  <c r="L182" s="1"/>
  <c r="K125"/>
  <c r="L125" s="1"/>
  <c r="K189"/>
  <c r="L189" s="1"/>
  <c r="K168"/>
  <c r="L168" s="1"/>
  <c r="K10"/>
  <c r="K2"/>
  <c r="L15" l="1"/>
  <c r="L14"/>
  <c r="L2"/>
  <c r="L11"/>
  <c r="L9"/>
  <c r="L5"/>
  <c r="L10"/>
  <c r="L4"/>
  <c r="L7"/>
  <c r="L6"/>
  <c r="L13"/>
  <c r="L3"/>
  <c r="L12"/>
  <c r="L8"/>
  <c r="AV7" i="18" l="1"/>
  <c r="AV8"/>
  <c r="AW7"/>
  <c r="AW8"/>
  <c r="AS7"/>
  <c r="AS8"/>
  <c r="AT8"/>
  <c r="AT7"/>
  <c r="AY8"/>
  <c r="AY7"/>
  <c r="AZ7"/>
  <c r="AZ8"/>
  <c r="AX8"/>
  <c r="AX7"/>
  <c r="AU7"/>
  <c r="AU8"/>
</calcChain>
</file>

<file path=xl/sharedStrings.xml><?xml version="1.0" encoding="utf-8"?>
<sst xmlns="http://schemas.openxmlformats.org/spreadsheetml/2006/main" count="1276" uniqueCount="164">
  <si>
    <t>x</t>
  </si>
  <si>
    <t>Req'd</t>
  </si>
  <si>
    <t>Test</t>
  </si>
  <si>
    <t>HIDE</t>
  </si>
  <si>
    <t>D5</t>
  </si>
  <si>
    <t>D6</t>
  </si>
  <si>
    <t>D7</t>
  </si>
  <si>
    <t>D8</t>
  </si>
  <si>
    <t>D9</t>
  </si>
  <si>
    <t>D10</t>
  </si>
  <si>
    <t>Field</t>
  </si>
  <si>
    <t>Column</t>
  </si>
  <si>
    <t>Value</t>
  </si>
  <si>
    <t>Start Column</t>
  </si>
  <si>
    <t>DB Row</t>
  </si>
  <si>
    <t>Mandatory Field Check</t>
  </si>
  <si>
    <t>Mand Fields</t>
  </si>
  <si>
    <t>HP</t>
  </si>
  <si>
    <t>Budhi Supriatna</t>
  </si>
  <si>
    <t>Dini</t>
  </si>
  <si>
    <t>Ma'ruf Hidayatullah</t>
  </si>
  <si>
    <t>Rini</t>
  </si>
  <si>
    <t>Nama Kontak Selaras Semesta</t>
  </si>
  <si>
    <t>Identitas Pembeli</t>
  </si>
  <si>
    <t>Nomor HP Kontak</t>
  </si>
  <si>
    <t>Nama Pembeli</t>
  </si>
  <si>
    <t>Jenis Kelamin</t>
  </si>
  <si>
    <t>Tanggal Lahir</t>
  </si>
  <si>
    <t>Alamat</t>
  </si>
  <si>
    <t>Nomor HP Pembeli</t>
  </si>
  <si>
    <t>WA</t>
  </si>
  <si>
    <t>Facebook</t>
  </si>
  <si>
    <t>Email</t>
  </si>
  <si>
    <t>Tanggal Bergabung</t>
  </si>
  <si>
    <t>Status</t>
  </si>
  <si>
    <t>Perempuan</t>
  </si>
  <si>
    <t>D11</t>
  </si>
  <si>
    <t>D12</t>
  </si>
  <si>
    <t>D13</t>
  </si>
  <si>
    <t>D14</t>
  </si>
  <si>
    <t>D15</t>
  </si>
  <si>
    <t>D16</t>
  </si>
  <si>
    <t>Reseller</t>
  </si>
  <si>
    <t>Konsumen</t>
  </si>
  <si>
    <t>User</t>
  </si>
  <si>
    <t>Laki-laki</t>
  </si>
  <si>
    <t>Parakan Saat</t>
  </si>
  <si>
    <t>List Pembeli</t>
  </si>
  <si>
    <t>Ani Herningsih</t>
  </si>
  <si>
    <t>Koperasi Karyawan TBG</t>
  </si>
  <si>
    <t>Ida Ayu Mustika Dewi</t>
  </si>
  <si>
    <t>Puteraco Gading Regency Kavling A1 No.13</t>
  </si>
  <si>
    <t>tikamusik@yahoo.com</t>
  </si>
  <si>
    <t>Pelema</t>
  </si>
  <si>
    <t>Waktu Lema</t>
  </si>
  <si>
    <t>Perumahan Permana Indah Jalan Jangkrik 1 No.72 RT 03/13 Citeureup Cimahi</t>
  </si>
  <si>
    <t>prayaarie@gmail.com</t>
  </si>
  <si>
    <t>https://www.facebook.com/praya.indrayana</t>
  </si>
  <si>
    <t>https://www.facebook.com/ida.dewi.3</t>
  </si>
  <si>
    <t>https://www.facebook.com/ani.herningsih</t>
  </si>
  <si>
    <t>Database 
Konsumen dan Reseller Sayuran Organik 
Kebun Selaras Semesta</t>
  </si>
  <si>
    <t>Praya Arie Indrayana</t>
  </si>
  <si>
    <t>Pilih Data</t>
  </si>
  <si>
    <t>Rini T</t>
  </si>
  <si>
    <t>https://www.facebook.com/rini.ks.5</t>
  </si>
  <si>
    <t>Cijambe</t>
  </si>
  <si>
    <t>Ifa</t>
  </si>
  <si>
    <t>Jingga Regency Ciwastra</t>
  </si>
  <si>
    <t>https://www.facebook.com/ifakho</t>
  </si>
  <si>
    <t>Winy</t>
  </si>
  <si>
    <t>Perumahan Riung Bandung</t>
  </si>
  <si>
    <t>https://www.facebook.com/winny.survianiza.7</t>
  </si>
  <si>
    <t>Ririn Soenaryani</t>
  </si>
  <si>
    <t>01 November 2017</t>
  </si>
  <si>
    <t>Nina Sintarijana</t>
  </si>
  <si>
    <t>Rini Widayanti</t>
  </si>
  <si>
    <t>Noviya Umiyatun</t>
  </si>
  <si>
    <t>Diar Marcelina</t>
  </si>
  <si>
    <t>Ullie Udhliyah</t>
  </si>
  <si>
    <t>Niken Puspita</t>
  </si>
  <si>
    <t>Mohammad Fatahillah Santosa</t>
  </si>
  <si>
    <t>Kantor TBG</t>
  </si>
  <si>
    <t xml:space="preserve">Asrama Anak </t>
  </si>
  <si>
    <t>Gading Timur</t>
  </si>
  <si>
    <t>Juju Sukmana</t>
  </si>
  <si>
    <t>Jalan Senam I No.8 Arcamanik</t>
  </si>
  <si>
    <t>Hesti</t>
  </si>
  <si>
    <t>Jalan Rancabolang Cluster D'Platinum 2 Kavling E No.1</t>
  </si>
  <si>
    <t>Ineu Widaningsih</t>
  </si>
  <si>
    <t>Jalan Salakadomas K3/11A Kompleks Cibaduyut Permai</t>
  </si>
  <si>
    <t>Komplek Neglasari I Jalan Neglawangi 31 Ujung Berung</t>
  </si>
  <si>
    <t>Tria Barmawi</t>
  </si>
  <si>
    <t>Lia</t>
  </si>
  <si>
    <t>Jalan Gulat No.5 Arcamanik</t>
  </si>
  <si>
    <t>https://www.facebook.com/srie.mulyasari.7</t>
  </si>
  <si>
    <t>Srie Mulyasari</t>
  </si>
  <si>
    <t>Jalan Tenis Meja No.38 Arcamanik</t>
  </si>
  <si>
    <t>Tita</t>
  </si>
  <si>
    <t>ListCariPembeli</t>
  </si>
  <si>
    <t>CariPembeli</t>
  </si>
  <si>
    <t>Cari Data Pembeli</t>
  </si>
  <si>
    <t>Jumlah Konsumen</t>
  </si>
  <si>
    <t>Jumlah Reseller</t>
  </si>
  <si>
    <t>Ahmad Baiquni</t>
  </si>
  <si>
    <t>Jalan Cinambo</t>
  </si>
  <si>
    <t>Lia Barra</t>
  </si>
  <si>
    <t>Kompleks Pasir Jati</t>
  </si>
  <si>
    <t>Bulan</t>
  </si>
  <si>
    <t>Tanggal Panen</t>
  </si>
  <si>
    <t>Bawang Daun</t>
  </si>
  <si>
    <t>Bawang Merah</t>
  </si>
  <si>
    <t>Bayam Hijau</t>
  </si>
  <si>
    <t>Bayam Merah</t>
  </si>
  <si>
    <t>Brokoli</t>
  </si>
  <si>
    <t>Bumbu Dapur</t>
  </si>
  <si>
    <t>Buncis</t>
  </si>
  <si>
    <t>Cabe Hijau Besar</t>
  </si>
  <si>
    <t>Cabe Merah Besar</t>
  </si>
  <si>
    <t>Daun Jeruk</t>
  </si>
  <si>
    <t>Daun Singkong</t>
  </si>
  <si>
    <t>Jagung Semi</t>
  </si>
  <si>
    <t>Jahe</t>
  </si>
  <si>
    <t>Jahe Muda</t>
  </si>
  <si>
    <t>Jeruk Lemon</t>
  </si>
  <si>
    <t>Kacang Bulu</t>
  </si>
  <si>
    <t>Kacang Endul</t>
  </si>
  <si>
    <t>Kacang Merah</t>
  </si>
  <si>
    <t>Kacang Panjang</t>
  </si>
  <si>
    <t>Kangkung</t>
  </si>
  <si>
    <t>Kecipir</t>
  </si>
  <si>
    <t>Kentang</t>
  </si>
  <si>
    <t>Kiciwis</t>
  </si>
  <si>
    <t>Kol</t>
  </si>
  <si>
    <t>Kunyit</t>
  </si>
  <si>
    <t>Labu Siam</t>
  </si>
  <si>
    <t>Lengkuas</t>
  </si>
  <si>
    <t>Mentimun</t>
  </si>
  <si>
    <t>Nangka Muda</t>
  </si>
  <si>
    <t>Pakcoy</t>
  </si>
  <si>
    <t>Petsai</t>
  </si>
  <si>
    <t>Selada Hijau</t>
  </si>
  <si>
    <t>Selada Merah</t>
  </si>
  <si>
    <t>Seledri</t>
  </si>
  <si>
    <t>Sereh</t>
  </si>
  <si>
    <t>Sosin</t>
  </si>
  <si>
    <t>Tomat</t>
  </si>
  <si>
    <t>Wortel</t>
  </si>
  <si>
    <t>Data</t>
  </si>
  <si>
    <t>Data Stok</t>
  </si>
  <si>
    <t>Tanggal Pemesanan</t>
  </si>
  <si>
    <t>List</t>
  </si>
  <si>
    <t>Pembeli</t>
  </si>
  <si>
    <t>Jenis Sayuran</t>
  </si>
  <si>
    <t>Agus</t>
  </si>
  <si>
    <t>Ade</t>
  </si>
  <si>
    <t>Dedi</t>
  </si>
  <si>
    <t>Dwina</t>
  </si>
  <si>
    <t>Izza</t>
  </si>
  <si>
    <t>Tita-Kop</t>
  </si>
  <si>
    <t>Iis</t>
  </si>
  <si>
    <t>Sinta</t>
  </si>
  <si>
    <t>-</t>
  </si>
  <si>
    <t>DataPemesanan</t>
  </si>
  <si>
    <t>Lihat Pemesanan</t>
  </si>
</sst>
</file>

<file path=xl/styles.xml><?xml version="1.0" encoding="utf-8"?>
<styleSheet xmlns="http://schemas.openxmlformats.org/spreadsheetml/2006/main">
  <numFmts count="4">
    <numFmt numFmtId="164" formatCode="mm/dd/yyyy\ hh:mm:ss"/>
    <numFmt numFmtId="165" formatCode="&quot;0&quot;0"/>
    <numFmt numFmtId="166" formatCode="[$-F800]dddd\,\ mmmm\ dd\,\ yyyy"/>
    <numFmt numFmtId="167" formatCode="mmmm\ yyyy"/>
  </numFmts>
  <fonts count="48">
    <font>
      <sz val="12"/>
      <name val="Arial Narrow"/>
    </font>
    <font>
      <sz val="12"/>
      <name val="Arial Narrow"/>
      <family val="2"/>
    </font>
    <font>
      <b/>
      <sz val="12"/>
      <name val="Arial Narrow"/>
      <family val="2"/>
    </font>
    <font>
      <sz val="8"/>
      <name val="Arial Narrow"/>
      <family val="2"/>
    </font>
    <font>
      <sz val="12"/>
      <name val="Arial Narrow"/>
      <family val="2"/>
    </font>
    <font>
      <b/>
      <sz val="16"/>
      <color indexed="12"/>
      <name val="Arial Narrow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9"/>
      <name val="Arial Narrow"/>
      <family val="2"/>
    </font>
    <font>
      <u/>
      <sz val="11"/>
      <color indexed="12"/>
      <name val="Arial Narrow"/>
      <family val="2"/>
    </font>
    <font>
      <sz val="10"/>
      <name val="Arial"/>
      <family val="2"/>
    </font>
    <font>
      <u/>
      <sz val="11"/>
      <color indexed="12"/>
      <name val="Calibri"/>
      <family val="2"/>
      <scheme val="minor"/>
    </font>
    <font>
      <u/>
      <sz val="11"/>
      <color theme="10"/>
      <name val="Arial Narrow"/>
      <family val="2"/>
    </font>
    <font>
      <sz val="9"/>
      <name val="Kartika"/>
      <family val="1"/>
    </font>
    <font>
      <sz val="9"/>
      <color theme="0"/>
      <name val="Kartika"/>
      <family val="1"/>
    </font>
    <font>
      <b/>
      <sz val="9"/>
      <color rgb="FFFF0000"/>
      <name val="Kartika"/>
      <family val="1"/>
    </font>
    <font>
      <b/>
      <sz val="9"/>
      <name val="Kartika"/>
      <family val="1"/>
    </font>
    <font>
      <sz val="9"/>
      <name val="Arial Narrow"/>
      <family val="2"/>
    </font>
    <font>
      <u/>
      <sz val="12"/>
      <color theme="10"/>
      <name val="Arial Narrow"/>
      <family val="2"/>
    </font>
    <font>
      <sz val="9"/>
      <color rgb="FF1D2129"/>
      <name val="Kartika"/>
      <family val="1"/>
    </font>
    <font>
      <sz val="12"/>
      <color theme="0"/>
      <name val="Arial Narrow"/>
      <family val="2"/>
    </font>
    <font>
      <sz val="9"/>
      <color theme="0" tint="-4.9989318521683403E-2"/>
      <name val="Kartika"/>
      <family val="1"/>
    </font>
    <font>
      <b/>
      <sz val="10"/>
      <name val="Kartika"/>
      <family val="1"/>
    </font>
    <font>
      <sz val="12"/>
      <name val="Kartika"/>
      <family val="1"/>
    </font>
    <font>
      <sz val="10"/>
      <name val="Kartika"/>
      <family val="1"/>
    </font>
    <font>
      <u/>
      <sz val="9"/>
      <color theme="10"/>
      <name val="Kartika"/>
      <family val="1"/>
    </font>
    <font>
      <b/>
      <sz val="12"/>
      <name val="Kartika"/>
      <family val="1"/>
    </font>
    <font>
      <b/>
      <sz val="10"/>
      <color theme="0"/>
      <name val="Kartika"/>
      <family val="1"/>
    </font>
    <font>
      <b/>
      <sz val="9"/>
      <color theme="0"/>
      <name val="Kartika"/>
      <family val="1"/>
    </font>
    <font>
      <b/>
      <sz val="9"/>
      <color theme="0" tint="-4.9989318521683403E-2"/>
      <name val="Kartika"/>
      <family val="1"/>
    </font>
    <font>
      <sz val="12"/>
      <name val="Arial Narrow"/>
      <family val="2"/>
    </font>
    <font>
      <b/>
      <sz val="11"/>
      <name val="Kartika"/>
      <family val="1"/>
    </font>
    <font>
      <sz val="9"/>
      <color theme="4" tint="0.59999389629810485"/>
      <name val="Kartika"/>
      <family val="1"/>
    </font>
  </fonts>
  <fills count="3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7"/>
        <bgColor indexed="64"/>
      </patternFill>
    </fill>
    <fill>
      <patternFill patternType="solid">
        <fgColor rgb="FFE1F7E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499984740745262"/>
        <bgColor indexed="64"/>
      </patternFill>
    </fill>
  </fills>
  <borders count="2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 tint="0.59996337778862885"/>
      </left>
      <right style="thin">
        <color theme="5" tint="0.59996337778862885"/>
      </right>
      <top style="thin">
        <color theme="5" tint="0.59996337778862885"/>
      </top>
      <bottom style="thin">
        <color theme="5" tint="0.59996337778862885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theme="5" tint="0.59996337778862885"/>
      </left>
      <right style="double">
        <color theme="5" tint="0.59996337778862885"/>
      </right>
      <top style="double">
        <color theme="5" tint="0.59996337778862885"/>
      </top>
      <bottom style="double">
        <color theme="5" tint="0.59996337778862885"/>
      </bottom>
      <diagonal/>
    </border>
    <border>
      <left style="thin">
        <color theme="4" tint="0.79998168889431442"/>
      </left>
      <right/>
      <top style="thin">
        <color theme="4" tint="0.79998168889431442"/>
      </top>
      <bottom style="thin">
        <color theme="4" tint="0.79998168889431442"/>
      </bottom>
      <diagonal/>
    </border>
    <border>
      <left/>
      <right/>
      <top style="thin">
        <color theme="4" tint="0.79998168889431442"/>
      </top>
      <bottom style="thin">
        <color theme="4" tint="0.79998168889431442"/>
      </bottom>
      <diagonal/>
    </border>
    <border>
      <left style="thin">
        <color theme="4" tint="0.79995117038483843"/>
      </left>
      <right style="thin">
        <color theme="4" tint="0.79995117038483843"/>
      </right>
      <top style="thin">
        <color theme="4" tint="0.79995117038483843"/>
      </top>
      <bottom style="thin">
        <color theme="4" tint="0.79995117038483843"/>
      </bottom>
      <diagonal/>
    </border>
    <border>
      <left style="thin">
        <color theme="4" tint="0.79998168889431442"/>
      </left>
      <right/>
      <top style="thin">
        <color theme="4" tint="0.79998168889431442"/>
      </top>
      <bottom/>
      <diagonal/>
    </border>
    <border>
      <left/>
      <right/>
      <top style="thin">
        <color theme="4" tint="0.79998168889431442"/>
      </top>
      <bottom/>
      <diagonal/>
    </border>
    <border>
      <left style="thin">
        <color theme="4" tint="0.79995117038483843"/>
      </left>
      <right style="thin">
        <color theme="4" tint="0.79995117038483843"/>
      </right>
      <top style="thin">
        <color theme="4" tint="0.79995117038483843"/>
      </top>
      <bottom/>
      <diagonal/>
    </border>
    <border>
      <left/>
      <right/>
      <top/>
      <bottom style="thin">
        <color theme="4" tint="0.39994506668294322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4" tint="0.3999450666829432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/>
      <right/>
      <top style="thin">
        <color theme="4" tint="0.39994506668294322"/>
      </top>
      <bottom style="thin">
        <color theme="4" tint="0.39994506668294322"/>
      </bottom>
      <diagonal/>
    </border>
    <border>
      <left style="double">
        <color theme="4" tint="0.59996337778862885"/>
      </left>
      <right style="double">
        <color theme="4" tint="0.59996337778862885"/>
      </right>
      <top style="double">
        <color theme="4" tint="0.59996337778862885"/>
      </top>
      <bottom style="double">
        <color theme="4" tint="0.59996337778862885"/>
      </bottom>
      <diagonal/>
    </border>
    <border>
      <left/>
      <right/>
      <top/>
      <bottom style="thin">
        <color theme="4" tint="0.79995117038483843"/>
      </bottom>
      <diagonal/>
    </border>
    <border>
      <left/>
      <right/>
      <top style="thin">
        <color theme="4" tint="0.79995117038483843"/>
      </top>
      <bottom style="thin">
        <color theme="4" tint="0.79995117038483843"/>
      </bottom>
      <diagonal/>
    </border>
    <border>
      <left style="thin">
        <color theme="3" tint="0.39994506668294322"/>
      </left>
      <right style="thin">
        <color theme="3" tint="0.39994506668294322"/>
      </right>
      <top style="thin">
        <color theme="3" tint="0.39994506668294322"/>
      </top>
      <bottom style="thin">
        <color theme="3" tint="0.39994506668294322"/>
      </bottom>
      <diagonal/>
    </border>
  </borders>
  <cellStyleXfs count="51">
    <xf numFmtId="0" fontId="0" fillId="0" borderId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5" borderId="0" applyNumberFormat="0" applyBorder="0" applyAlignment="0" applyProtection="0"/>
    <xf numFmtId="0" fontId="6" fillId="8" borderId="0" applyNumberFormat="0" applyBorder="0" applyAlignment="0" applyProtection="0"/>
    <xf numFmtId="0" fontId="6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9" borderId="0" applyNumberFormat="0" applyBorder="0" applyAlignment="0" applyProtection="0"/>
    <xf numFmtId="0" fontId="8" fillId="3" borderId="0" applyNumberFormat="0" applyBorder="0" applyAlignment="0" applyProtection="0"/>
    <xf numFmtId="0" fontId="9" fillId="20" borderId="1" applyNumberFormat="0" applyAlignment="0" applyProtection="0"/>
    <xf numFmtId="0" fontId="10" fillId="21" borderId="2" applyNumberFormat="0" applyAlignment="0" applyProtection="0"/>
    <xf numFmtId="0" fontId="26" fillId="0" borderId="0" applyNumberFormat="0" applyFill="0" applyBorder="0" applyAlignment="0" applyProtection="0">
      <alignment horizontal="left" indent="1"/>
    </xf>
    <xf numFmtId="0" fontId="11" fillId="0" borderId="0" applyNumberFormat="0" applyFill="0" applyBorder="0" applyAlignment="0" applyProtection="0"/>
    <xf numFmtId="0" fontId="12" fillId="4" borderId="0" applyNumberFormat="0" applyBorder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5" fillId="0" borderId="5" applyNumberFormat="0" applyFill="0" applyAlignment="0" applyProtection="0"/>
    <xf numFmtId="0" fontId="15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16" fillId="7" borderId="1" applyNumberFormat="0" applyAlignment="0" applyProtection="0"/>
    <xf numFmtId="0" fontId="17" fillId="0" borderId="6" applyNumberFormat="0" applyFill="0" applyAlignment="0" applyProtection="0"/>
    <xf numFmtId="0" fontId="18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5" fillId="0" borderId="0"/>
    <xf numFmtId="0" fontId="4" fillId="23" borderId="7" applyNumberFormat="0" applyFont="0" applyAlignment="0" applyProtection="0"/>
    <xf numFmtId="0" fontId="19" fillId="20" borderId="8" applyNumberFormat="0" applyAlignment="0" applyProtection="0"/>
    <xf numFmtId="0" fontId="20" fillId="0" borderId="0" applyNumberFormat="0" applyFill="0" applyBorder="0" applyAlignment="0" applyProtection="0"/>
    <xf numFmtId="0" fontId="21" fillId="0" borderId="9" applyNumberFormat="0" applyFill="0" applyAlignment="0" applyProtection="0"/>
    <xf numFmtId="0" fontId="22" fillId="0" borderId="0" applyNumberFormat="0" applyFill="0" applyBorder="0" applyAlignment="0" applyProtection="0"/>
    <xf numFmtId="0" fontId="33" fillId="0" borderId="0" applyNumberFormat="0" applyFill="0" applyBorder="0" applyAlignment="0" applyProtection="0">
      <alignment vertical="top"/>
      <protection locked="0"/>
    </xf>
    <xf numFmtId="9" fontId="45" fillId="0" borderId="0" applyFont="0" applyFill="0" applyBorder="0" applyAlignment="0" applyProtection="0"/>
  </cellStyleXfs>
  <cellXfs count="177">
    <xf numFmtId="0" fontId="0" fillId="0" borderId="0" xfId="0"/>
    <xf numFmtId="0" fontId="0" fillId="0" borderId="0" xfId="0" applyFill="1"/>
    <xf numFmtId="0" fontId="0" fillId="0" borderId="0" xfId="0" applyFill="1" applyBorder="1" applyAlignment="1">
      <alignment horizontal="center"/>
    </xf>
    <xf numFmtId="0" fontId="2" fillId="0" borderId="0" xfId="0" applyFont="1" applyFill="1" applyAlignment="1">
      <alignment horizontal="right"/>
    </xf>
    <xf numFmtId="0" fontId="5" fillId="0" borderId="0" xfId="0" applyFont="1" applyFill="1"/>
    <xf numFmtId="0" fontId="0" fillId="24" borderId="0" xfId="0" applyFill="1" applyAlignment="1">
      <alignment horizontal="center"/>
    </xf>
    <xf numFmtId="0" fontId="3" fillId="0" borderId="0" xfId="0" applyFont="1" applyFill="1" applyAlignment="1">
      <alignment horizontal="right"/>
    </xf>
    <xf numFmtId="0" fontId="3" fillId="0" borderId="0" xfId="0" applyFont="1" applyFill="1" applyAlignment="1">
      <alignment horizontal="left"/>
    </xf>
    <xf numFmtId="0" fontId="0" fillId="0" borderId="10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4" fillId="0" borderId="0" xfId="0" applyFont="1" applyAlignment="1">
      <alignment wrapText="1"/>
    </xf>
    <xf numFmtId="0" fontId="4" fillId="0" borderId="0" xfId="0" applyFont="1"/>
    <xf numFmtId="0" fontId="4" fillId="0" borderId="0" xfId="0" applyFont="1" applyAlignment="1"/>
    <xf numFmtId="0" fontId="23" fillId="24" borderId="0" xfId="0" applyFont="1" applyFill="1" applyAlignment="1">
      <alignment horizont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/>
    <xf numFmtId="0" fontId="28" fillId="0" borderId="0" xfId="0" applyFont="1"/>
    <xf numFmtId="165" fontId="28" fillId="0" borderId="0" xfId="43" applyNumberFormat="1" applyFont="1"/>
    <xf numFmtId="165" fontId="28" fillId="0" borderId="0" xfId="43" quotePrefix="1" applyNumberFormat="1" applyFont="1"/>
    <xf numFmtId="165" fontId="0" fillId="0" borderId="0" xfId="0" applyNumberFormat="1"/>
    <xf numFmtId="165" fontId="2" fillId="0" borderId="0" xfId="0" applyNumberFormat="1" applyFont="1"/>
    <xf numFmtId="0" fontId="1" fillId="0" borderId="0" xfId="0" applyFont="1"/>
    <xf numFmtId="0" fontId="28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28" fillId="0" borderId="0" xfId="0" applyFont="1" applyFill="1" applyAlignment="1">
      <alignment horizontal="left" vertical="center" indent="1"/>
    </xf>
    <xf numFmtId="164" fontId="28" fillId="0" borderId="0" xfId="0" applyNumberFormat="1" applyFont="1" applyAlignment="1">
      <alignment horizontal="left" vertical="center" indent="1"/>
    </xf>
    <xf numFmtId="0" fontId="28" fillId="0" borderId="0" xfId="0" applyFont="1" applyAlignment="1">
      <alignment horizontal="left" vertical="center" indent="1"/>
    </xf>
    <xf numFmtId="0" fontId="28" fillId="0" borderId="0" xfId="0" applyNumberFormat="1" applyFont="1" applyAlignment="1">
      <alignment horizontal="left" vertical="center" indent="1"/>
    </xf>
    <xf numFmtId="165" fontId="28" fillId="0" borderId="0" xfId="0" applyNumberFormat="1" applyFont="1" applyAlignment="1">
      <alignment horizontal="left" vertical="center" indent="1"/>
    </xf>
    <xf numFmtId="166" fontId="28" fillId="0" borderId="0" xfId="0" applyNumberFormat="1" applyFont="1" applyAlignment="1">
      <alignment horizontal="left" vertical="center" indent="1"/>
    </xf>
    <xf numFmtId="0" fontId="28" fillId="0" borderId="0" xfId="0" applyNumberFormat="1" applyFont="1" applyAlignment="1">
      <alignment horizontal="left" vertical="center" wrapText="1" indent="1"/>
    </xf>
    <xf numFmtId="0" fontId="0" fillId="25" borderId="12" xfId="0" applyFill="1" applyBorder="1" applyAlignment="1">
      <alignment horizontal="center"/>
    </xf>
    <xf numFmtId="0" fontId="4" fillId="0" borderId="0" xfId="0" applyNumberFormat="1" applyFont="1" applyFill="1" applyBorder="1" applyAlignment="1" applyProtection="1">
      <alignment horizontal="left" indent="1"/>
      <protection locked="0"/>
    </xf>
    <xf numFmtId="0" fontId="28" fillId="0" borderId="0" xfId="0" applyFont="1" applyFill="1" applyBorder="1" applyAlignment="1">
      <alignment horizontal="left" vertical="center" wrapText="1" indent="1"/>
    </xf>
    <xf numFmtId="0" fontId="36" fillId="26" borderId="11" xfId="0" applyFont="1" applyFill="1" applyBorder="1" applyAlignment="1">
      <alignment horizontal="center" vertical="center"/>
    </xf>
    <xf numFmtId="0" fontId="36" fillId="26" borderId="11" xfId="0" applyNumberFormat="1" applyFont="1" applyFill="1" applyBorder="1" applyAlignment="1">
      <alignment horizontal="center" vertical="center" wrapText="1"/>
    </xf>
    <xf numFmtId="165" fontId="36" fillId="26" borderId="11" xfId="0" applyNumberFormat="1" applyFont="1" applyFill="1" applyBorder="1" applyAlignment="1">
      <alignment horizontal="center" vertical="center" wrapText="1"/>
    </xf>
    <xf numFmtId="0" fontId="36" fillId="26" borderId="11" xfId="0" applyFont="1" applyFill="1" applyBorder="1" applyAlignment="1">
      <alignment horizontal="center" vertical="center" wrapText="1"/>
    </xf>
    <xf numFmtId="166" fontId="36" fillId="26" borderId="11" xfId="0" applyNumberFormat="1" applyFont="1" applyFill="1" applyBorder="1" applyAlignment="1">
      <alignment horizontal="center" vertical="center"/>
    </xf>
    <xf numFmtId="166" fontId="36" fillId="26" borderId="11" xfId="0" applyNumberFormat="1" applyFont="1" applyFill="1" applyBorder="1" applyAlignment="1">
      <alignment horizontal="center" vertical="center" wrapText="1"/>
    </xf>
    <xf numFmtId="0" fontId="37" fillId="0" borderId="0" xfId="0" applyFont="1" applyFill="1" applyAlignment="1">
      <alignment horizontal="center" vertical="center"/>
    </xf>
    <xf numFmtId="0" fontId="37" fillId="0" borderId="0" xfId="0" applyFont="1" applyFill="1" applyAlignment="1">
      <alignment horizontal="center" vertical="center" wrapText="1"/>
    </xf>
    <xf numFmtId="0" fontId="29" fillId="26" borderId="13" xfId="0" applyFont="1" applyFill="1" applyBorder="1" applyAlignment="1">
      <alignment horizontal="center"/>
    </xf>
    <xf numFmtId="0" fontId="31" fillId="0" borderId="13" xfId="0" applyFont="1" applyBorder="1"/>
    <xf numFmtId="0" fontId="28" fillId="0" borderId="13" xfId="0" applyFont="1" applyBorder="1"/>
    <xf numFmtId="0" fontId="28" fillId="0" borderId="13" xfId="0" applyFont="1" applyBorder="1" applyAlignment="1">
      <alignment horizontal="center"/>
    </xf>
    <xf numFmtId="0" fontId="28" fillId="0" borderId="13" xfId="0" applyFont="1" applyBorder="1" applyAlignment="1">
      <alignment horizontal="left"/>
    </xf>
    <xf numFmtId="0" fontId="29" fillId="26" borderId="13" xfId="0" applyFont="1" applyFill="1" applyBorder="1" applyAlignment="1">
      <alignment horizontal="center" vertical="center"/>
    </xf>
    <xf numFmtId="0" fontId="28" fillId="0" borderId="13" xfId="0" applyNumberFormat="1" applyFont="1" applyBorder="1" applyAlignment="1">
      <alignment horizontal="center" vertical="center"/>
    </xf>
    <xf numFmtId="165" fontId="28" fillId="0" borderId="13" xfId="0" applyNumberFormat="1" applyFont="1" applyBorder="1" applyAlignment="1">
      <alignment horizontal="center" vertical="center"/>
    </xf>
    <xf numFmtId="1" fontId="28" fillId="0" borderId="13" xfId="0" applyNumberFormat="1" applyFont="1" applyBorder="1" applyAlignment="1">
      <alignment horizontal="center" vertical="center"/>
    </xf>
    <xf numFmtId="166" fontId="28" fillId="0" borderId="13" xfId="0" applyNumberFormat="1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0" fillId="0" borderId="0" xfId="0" applyFill="1" applyBorder="1" applyAlignment="1" applyProtection="1">
      <alignment horizontal="center" vertical="center"/>
      <protection locked="0"/>
    </xf>
    <xf numFmtId="0" fontId="2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8" fillId="0" borderId="0" xfId="0" applyFont="1" applyFill="1"/>
    <xf numFmtId="0" fontId="31" fillId="0" borderId="0" xfId="0" applyFont="1" applyFill="1" applyAlignment="1">
      <alignment horizontal="center" vertical="center"/>
    </xf>
    <xf numFmtId="0" fontId="0" fillId="0" borderId="0" xfId="0" applyFill="1" applyBorder="1" applyAlignment="1" applyProtection="1">
      <alignment horizontal="right"/>
      <protection locked="0"/>
    </xf>
    <xf numFmtId="0" fontId="0" fillId="0" borderId="0" xfId="0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left"/>
    </xf>
    <xf numFmtId="166" fontId="34" fillId="0" borderId="0" xfId="0" applyNumberFormat="1" applyFont="1" applyAlignment="1">
      <alignment horizontal="left" vertical="center" indent="1"/>
    </xf>
    <xf numFmtId="0" fontId="39" fillId="0" borderId="0" xfId="0" applyFont="1" applyAlignment="1">
      <alignment horizontal="left" vertical="center" indent="1"/>
    </xf>
    <xf numFmtId="0" fontId="40" fillId="0" borderId="0" xfId="49" applyFont="1" applyAlignment="1" applyProtection="1">
      <alignment horizontal="left" vertical="center" indent="1"/>
    </xf>
    <xf numFmtId="0" fontId="41" fillId="0" borderId="0" xfId="0" applyFont="1" applyAlignment="1">
      <alignment vertical="center"/>
    </xf>
    <xf numFmtId="0" fontId="37" fillId="0" borderId="0" xfId="0" applyFont="1" applyAlignment="1">
      <alignment horizontal="right" vertical="center"/>
    </xf>
    <xf numFmtId="0" fontId="29" fillId="0" borderId="0" xfId="0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3" fillId="26" borderId="0" xfId="0" applyFont="1" applyFill="1" applyAlignment="1">
      <alignment horizontal="center"/>
    </xf>
    <xf numFmtId="165" fontId="43" fillId="26" borderId="0" xfId="43" applyNumberFormat="1" applyFont="1" applyFill="1" applyAlignment="1">
      <alignment horizontal="center"/>
    </xf>
    <xf numFmtId="0" fontId="28" fillId="0" borderId="0" xfId="0" applyFont="1" applyAlignment="1" applyProtection="1">
      <alignment horizontal="left" vertical="center" indent="1"/>
    </xf>
    <xf numFmtId="0" fontId="39" fillId="0" borderId="0" xfId="0" applyFont="1" applyAlignment="1" applyProtection="1">
      <alignment horizontal="left" vertical="center" indent="1"/>
    </xf>
    <xf numFmtId="0" fontId="28" fillId="0" borderId="0" xfId="0" applyFont="1" applyAlignment="1">
      <alignment horizontal="center" vertical="center" wrapText="1"/>
    </xf>
    <xf numFmtId="0" fontId="0" fillId="0" borderId="0" xfId="0"/>
    <xf numFmtId="167" fontId="0" fillId="0" borderId="0" xfId="0" applyNumberFormat="1"/>
    <xf numFmtId="167" fontId="28" fillId="0" borderId="0" xfId="0" applyNumberFormat="1" applyFont="1"/>
    <xf numFmtId="167" fontId="28" fillId="0" borderId="0" xfId="0" applyNumberFormat="1" applyFont="1" applyAlignment="1">
      <alignment horizontal="center"/>
    </xf>
    <xf numFmtId="0" fontId="28" fillId="0" borderId="0" xfId="0" applyFont="1" applyAlignment="1">
      <alignment horizontal="center"/>
    </xf>
    <xf numFmtId="166" fontId="28" fillId="0" borderId="0" xfId="0" applyNumberFormat="1" applyFont="1" applyAlignment="1">
      <alignment horizontal="center"/>
    </xf>
    <xf numFmtId="0" fontId="28" fillId="0" borderId="0" xfId="0" applyNumberFormat="1" applyFont="1" applyAlignment="1">
      <alignment horizontal="center" vertical="center" wrapText="1"/>
    </xf>
    <xf numFmtId="0" fontId="28" fillId="0" borderId="0" xfId="0" applyNumberFormat="1" applyFont="1" applyAlignment="1">
      <alignment horizontal="center"/>
    </xf>
    <xf numFmtId="166" fontId="28" fillId="0" borderId="0" xfId="0" applyNumberFormat="1" applyFont="1" applyFill="1" applyBorder="1" applyAlignment="1"/>
    <xf numFmtId="167" fontId="28" fillId="0" borderId="0" xfId="0" applyNumberFormat="1" applyFont="1" applyAlignment="1">
      <alignment horizontal="center" vertical="center"/>
    </xf>
    <xf numFmtId="166" fontId="28" fillId="0" borderId="0" xfId="0" applyNumberFormat="1" applyFont="1" applyAlignment="1">
      <alignment horizontal="center" vertical="center"/>
    </xf>
    <xf numFmtId="0" fontId="29" fillId="26" borderId="0" xfId="0" applyFont="1" applyFill="1" applyAlignment="1">
      <alignment horizontal="center"/>
    </xf>
    <xf numFmtId="0" fontId="44" fillId="31" borderId="16" xfId="0" applyFont="1" applyFill="1" applyBorder="1" applyAlignment="1">
      <alignment horizontal="center"/>
    </xf>
    <xf numFmtId="0" fontId="36" fillId="29" borderId="16" xfId="0" applyFont="1" applyFill="1" applyBorder="1" applyAlignment="1">
      <alignment horizontal="center"/>
    </xf>
    <xf numFmtId="0" fontId="36" fillId="28" borderId="19" xfId="0" applyFont="1" applyFill="1" applyBorder="1" applyAlignment="1">
      <alignment horizontal="center"/>
    </xf>
    <xf numFmtId="167" fontId="44" fillId="31" borderId="16" xfId="0" applyNumberFormat="1" applyFont="1" applyFill="1" applyBorder="1" applyAlignment="1">
      <alignment horizontal="center"/>
    </xf>
    <xf numFmtId="167" fontId="28" fillId="30" borderId="16" xfId="0" applyNumberFormat="1" applyFont="1" applyFill="1" applyBorder="1" applyAlignment="1">
      <alignment horizontal="center" vertical="center"/>
    </xf>
    <xf numFmtId="166" fontId="44" fillId="31" borderId="16" xfId="0" applyNumberFormat="1" applyFont="1" applyFill="1" applyBorder="1" applyAlignment="1">
      <alignment horizontal="center" vertical="center"/>
    </xf>
    <xf numFmtId="166" fontId="28" fillId="30" borderId="16" xfId="0" applyNumberFormat="1" applyFont="1" applyFill="1" applyBorder="1" applyAlignment="1">
      <alignment horizontal="center" vertical="center"/>
    </xf>
    <xf numFmtId="0" fontId="28" fillId="30" borderId="16" xfId="0" applyFont="1" applyFill="1" applyBorder="1" applyAlignment="1">
      <alignment horizontal="center" vertical="center"/>
    </xf>
    <xf numFmtId="0" fontId="28" fillId="0" borderId="22" xfId="0" applyNumberFormat="1" applyFont="1" applyFill="1" applyBorder="1" applyAlignment="1" applyProtection="1">
      <alignment horizontal="left" vertical="center" indent="1"/>
      <protection locked="0"/>
    </xf>
    <xf numFmtId="165" fontId="28" fillId="0" borderId="22" xfId="0" applyNumberFormat="1" applyFont="1" applyFill="1" applyBorder="1" applyAlignment="1" applyProtection="1">
      <alignment horizontal="left" vertical="center" indent="1"/>
      <protection locked="0"/>
    </xf>
    <xf numFmtId="0" fontId="28" fillId="0" borderId="22" xfId="0" applyFont="1" applyFill="1" applyBorder="1" applyAlignment="1" applyProtection="1">
      <alignment horizontal="left" vertical="center" indent="1"/>
      <protection locked="0"/>
    </xf>
    <xf numFmtId="1" fontId="28" fillId="0" borderId="22" xfId="0" applyNumberFormat="1" applyFont="1" applyFill="1" applyBorder="1" applyAlignment="1" applyProtection="1">
      <alignment horizontal="left" vertical="center" indent="1"/>
      <protection locked="0"/>
    </xf>
    <xf numFmtId="166" fontId="34" fillId="0" borderId="22" xfId="0" applyNumberFormat="1" applyFont="1" applyFill="1" applyBorder="1" applyAlignment="1">
      <alignment horizontal="left" indent="1"/>
    </xf>
    <xf numFmtId="0" fontId="28" fillId="0" borderId="22" xfId="0" applyFont="1" applyBorder="1" applyAlignment="1">
      <alignment horizontal="left" vertical="center" indent="1"/>
    </xf>
    <xf numFmtId="165" fontId="28" fillId="0" borderId="22" xfId="0" applyNumberFormat="1" applyFont="1" applyFill="1" applyBorder="1" applyAlignment="1">
      <alignment horizontal="left" vertical="center" indent="1"/>
    </xf>
    <xf numFmtId="165" fontId="28" fillId="0" borderId="22" xfId="0" applyNumberFormat="1" applyFont="1" applyBorder="1" applyAlignment="1">
      <alignment horizontal="left" vertical="center" indent="1"/>
    </xf>
    <xf numFmtId="0" fontId="40" fillId="0" borderId="22" xfId="49" applyFont="1" applyFill="1" applyBorder="1" applyAlignment="1" applyProtection="1">
      <alignment horizontal="left" indent="1"/>
    </xf>
    <xf numFmtId="0" fontId="40" fillId="0" borderId="22" xfId="49" applyFont="1" applyFill="1" applyBorder="1" applyAlignment="1" applyProtection="1">
      <alignment horizontal="left" vertical="center" indent="1"/>
    </xf>
    <xf numFmtId="166" fontId="28" fillId="0" borderId="22" xfId="0" applyNumberFormat="1" applyFont="1" applyFill="1" applyBorder="1" applyAlignment="1">
      <alignment horizontal="left" vertical="center" indent="1"/>
    </xf>
    <xf numFmtId="0" fontId="28" fillId="0" borderId="22" xfId="0" applyFont="1" applyFill="1" applyBorder="1" applyAlignment="1">
      <alignment horizontal="left" vertical="center" indent="1"/>
    </xf>
    <xf numFmtId="0" fontId="29" fillId="29" borderId="20" xfId="0" applyFont="1" applyFill="1" applyBorder="1" applyAlignment="1">
      <alignment horizontal="left" vertical="center" wrapText="1" indent="1"/>
    </xf>
    <xf numFmtId="0" fontId="28" fillId="0" borderId="23" xfId="0" applyFont="1" applyFill="1" applyBorder="1" applyAlignment="1">
      <alignment horizontal="right" vertical="center" wrapText="1" indent="1"/>
    </xf>
    <xf numFmtId="0" fontId="28" fillId="0" borderId="23" xfId="0" applyFont="1" applyBorder="1" applyAlignment="1">
      <alignment horizontal="right" vertical="center" indent="1"/>
    </xf>
    <xf numFmtId="0" fontId="28" fillId="0" borderId="23" xfId="0" applyFont="1" applyFill="1" applyBorder="1" applyAlignment="1">
      <alignment horizontal="right" vertical="center" wrapText="1" indent="2"/>
    </xf>
    <xf numFmtId="0" fontId="3" fillId="0" borderId="21" xfId="0" applyFont="1" applyFill="1" applyBorder="1"/>
    <xf numFmtId="0" fontId="0" fillId="0" borderId="21" xfId="0" applyFill="1" applyBorder="1"/>
    <xf numFmtId="0" fontId="29" fillId="29" borderId="24" xfId="0" applyNumberFormat="1" applyFont="1" applyFill="1" applyBorder="1" applyAlignment="1" applyProtection="1">
      <alignment horizontal="left" indent="1"/>
      <protection locked="0"/>
    </xf>
    <xf numFmtId="0" fontId="35" fillId="29" borderId="20" xfId="0" applyFont="1" applyFill="1" applyBorder="1"/>
    <xf numFmtId="0" fontId="29" fillId="29" borderId="20" xfId="0" applyFont="1" applyFill="1" applyBorder="1" applyAlignment="1">
      <alignment horizontal="left" vertical="center" indent="1"/>
    </xf>
    <xf numFmtId="0" fontId="28" fillId="0" borderId="0" xfId="0" applyFont="1" applyFill="1" applyAlignment="1">
      <alignment horizontal="center"/>
    </xf>
    <xf numFmtId="166" fontId="44" fillId="0" borderId="25" xfId="0" applyNumberFormat="1" applyFont="1" applyFill="1" applyBorder="1" applyAlignment="1">
      <alignment horizontal="right" indent="1"/>
    </xf>
    <xf numFmtId="0" fontId="36" fillId="0" borderId="26" xfId="0" applyFont="1" applyFill="1" applyBorder="1" applyAlignment="1">
      <alignment horizontal="center"/>
    </xf>
    <xf numFmtId="0" fontId="36" fillId="29" borderId="0" xfId="0" applyFont="1" applyFill="1" applyAlignment="1">
      <alignment horizontal="center" vertical="center" wrapText="1"/>
    </xf>
    <xf numFmtId="167" fontId="36" fillId="29" borderId="0" xfId="0" applyNumberFormat="1" applyFont="1" applyFill="1" applyAlignment="1">
      <alignment horizontal="center" vertical="center" wrapText="1"/>
    </xf>
    <xf numFmtId="166" fontId="36" fillId="29" borderId="0" xfId="0" applyNumberFormat="1" applyFont="1" applyFill="1" applyAlignment="1">
      <alignment horizontal="center" vertical="center" wrapText="1"/>
    </xf>
    <xf numFmtId="0" fontId="36" fillId="29" borderId="0" xfId="0" applyNumberFormat="1" applyFont="1" applyFill="1" applyAlignment="1">
      <alignment horizontal="center" vertical="center" wrapText="1"/>
    </xf>
    <xf numFmtId="0" fontId="28" fillId="0" borderId="0" xfId="0" applyNumberFormat="1" applyFont="1" applyAlignment="1">
      <alignment horizontal="center" vertical="center"/>
    </xf>
    <xf numFmtId="0" fontId="0" fillId="29" borderId="0" xfId="0" applyFill="1"/>
    <xf numFmtId="167" fontId="29" fillId="0" borderId="0" xfId="0" applyNumberFormat="1" applyFont="1" applyFill="1" applyBorder="1" applyAlignment="1">
      <alignment horizontal="center" vertical="center"/>
    </xf>
    <xf numFmtId="166" fontId="29" fillId="0" borderId="0" xfId="0" applyNumberFormat="1" applyFont="1" applyFill="1" applyBorder="1" applyAlignment="1">
      <alignment horizontal="center" vertical="center"/>
    </xf>
    <xf numFmtId="0" fontId="28" fillId="0" borderId="0" xfId="0" applyFont="1" applyBorder="1" applyAlignment="1">
      <alignment horizontal="center"/>
    </xf>
    <xf numFmtId="0" fontId="28" fillId="0" borderId="0" xfId="0" applyFont="1" applyAlignment="1">
      <alignment horizontal="center" wrapText="1"/>
    </xf>
    <xf numFmtId="166" fontId="28" fillId="27" borderId="0" xfId="0" applyNumberFormat="1" applyFont="1" applyFill="1" applyBorder="1" applyAlignment="1"/>
    <xf numFmtId="0" fontId="28" fillId="0" borderId="0" xfId="50" applyNumberFormat="1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167" fontId="28" fillId="27" borderId="19" xfId="0" applyNumberFormat="1" applyFont="1" applyFill="1" applyBorder="1" applyAlignment="1">
      <alignment horizontal="center" vertical="center"/>
    </xf>
    <xf numFmtId="0" fontId="28" fillId="27" borderId="19" xfId="0" applyFont="1" applyFill="1" applyBorder="1" applyAlignment="1">
      <alignment horizontal="center" vertical="center"/>
    </xf>
    <xf numFmtId="166" fontId="28" fillId="0" borderId="0" xfId="0" applyNumberFormat="1" applyFont="1" applyFill="1" applyBorder="1" applyAlignment="1">
      <alignment horizontal="center"/>
    </xf>
    <xf numFmtId="0" fontId="28" fillId="0" borderId="0" xfId="0" applyFont="1" applyFill="1" applyBorder="1" applyAlignment="1">
      <alignment horizontal="center"/>
    </xf>
    <xf numFmtId="0" fontId="28" fillId="0" borderId="0" xfId="0" applyFont="1" applyBorder="1" applyAlignment="1">
      <alignment horizontal="center" wrapText="1"/>
    </xf>
    <xf numFmtId="0" fontId="36" fillId="31" borderId="13" xfId="0" applyNumberFormat="1" applyFont="1" applyFill="1" applyBorder="1" applyAlignment="1">
      <alignment horizontal="center" vertical="center" wrapText="1"/>
    </xf>
    <xf numFmtId="0" fontId="36" fillId="31" borderId="13" xfId="0" applyFont="1" applyFill="1" applyBorder="1" applyAlignment="1">
      <alignment horizontal="center" vertical="center" wrapText="1"/>
    </xf>
    <xf numFmtId="0" fontId="29" fillId="29" borderId="13" xfId="0" applyNumberFormat="1" applyFont="1" applyFill="1" applyBorder="1" applyAlignment="1" applyProtection="1">
      <alignment horizontal="center" vertical="center"/>
      <protection locked="0"/>
    </xf>
    <xf numFmtId="0" fontId="29" fillId="29" borderId="13" xfId="0" applyFont="1" applyFill="1" applyBorder="1" applyAlignment="1">
      <alignment horizontal="center" vertical="center"/>
    </xf>
    <xf numFmtId="167" fontId="47" fillId="29" borderId="27" xfId="0" applyNumberFormat="1" applyFont="1" applyFill="1" applyBorder="1" applyAlignment="1">
      <alignment horizontal="center" vertical="center" wrapText="1"/>
    </xf>
    <xf numFmtId="0" fontId="47" fillId="29" borderId="27" xfId="0" applyFont="1" applyFill="1" applyBorder="1" applyAlignment="1">
      <alignment horizontal="center" vertical="center" wrapText="1"/>
    </xf>
    <xf numFmtId="167" fontId="28" fillId="27" borderId="27" xfId="0" applyNumberFormat="1" applyFont="1" applyFill="1" applyBorder="1" applyAlignment="1">
      <alignment horizontal="center"/>
    </xf>
    <xf numFmtId="166" fontId="28" fillId="27" borderId="27" xfId="0" applyNumberFormat="1" applyFont="1" applyFill="1" applyBorder="1"/>
    <xf numFmtId="0" fontId="28" fillId="27" borderId="27" xfId="0" applyFont="1" applyFill="1" applyBorder="1"/>
    <xf numFmtId="0" fontId="31" fillId="0" borderId="0" xfId="0" applyFont="1" applyAlignment="1">
      <alignment horizontal="left" vertical="center"/>
    </xf>
    <xf numFmtId="0" fontId="31" fillId="0" borderId="0" xfId="0" applyFont="1" applyAlignment="1">
      <alignment horizontal="left" vertical="center" wrapText="1"/>
    </xf>
    <xf numFmtId="166" fontId="31" fillId="0" borderId="0" xfId="0" applyNumberFormat="1" applyFont="1" applyAlignment="1">
      <alignment horizontal="left" vertical="center"/>
    </xf>
    <xf numFmtId="167" fontId="43" fillId="0" borderId="0" xfId="0" applyNumberFormat="1" applyFont="1" applyFill="1" applyBorder="1" applyAlignment="1">
      <alignment horizontal="left" vertical="center"/>
    </xf>
    <xf numFmtId="166" fontId="43" fillId="0" borderId="0" xfId="0" applyNumberFormat="1" applyFont="1" applyFill="1" applyBorder="1" applyAlignment="1">
      <alignment horizontal="left" vertical="center"/>
    </xf>
    <xf numFmtId="0" fontId="43" fillId="0" borderId="0" xfId="0" applyFont="1" applyFill="1" applyBorder="1" applyAlignment="1">
      <alignment horizontal="left" vertical="center"/>
    </xf>
    <xf numFmtId="0" fontId="43" fillId="0" borderId="0" xfId="0" applyFont="1" applyFill="1" applyAlignment="1">
      <alignment horizontal="left" vertical="center"/>
    </xf>
    <xf numFmtId="0" fontId="28" fillId="0" borderId="0" xfId="0" applyFont="1" applyAlignment="1">
      <alignment wrapText="1"/>
    </xf>
    <xf numFmtId="0" fontId="28" fillId="0" borderId="0" xfId="0" applyFont="1" applyBorder="1"/>
    <xf numFmtId="0" fontId="28" fillId="0" borderId="0" xfId="0" applyFont="1" applyBorder="1" applyAlignment="1">
      <alignment wrapText="1"/>
    </xf>
    <xf numFmtId="0" fontId="28" fillId="0" borderId="0" xfId="0" applyFont="1" applyFill="1" applyBorder="1" applyAlignment="1">
      <alignment wrapText="1"/>
    </xf>
    <xf numFmtId="0" fontId="28" fillId="0" borderId="0" xfId="0" applyNumberFormat="1" applyFont="1"/>
    <xf numFmtId="0" fontId="28" fillId="0" borderId="0" xfId="0" applyNumberFormat="1" applyFont="1" applyBorder="1"/>
    <xf numFmtId="0" fontId="28" fillId="0" borderId="0" xfId="50" applyNumberFormat="1" applyFont="1"/>
    <xf numFmtId="0" fontId="28" fillId="0" borderId="0" xfId="50" applyNumberFormat="1" applyFont="1" applyBorder="1"/>
    <xf numFmtId="0" fontId="31" fillId="0" borderId="0" xfId="0" applyFont="1" applyAlignment="1">
      <alignment horizontal="right"/>
    </xf>
    <xf numFmtId="10" fontId="28" fillId="0" borderId="0" xfId="0" applyNumberFormat="1" applyFont="1" applyAlignment="1">
      <alignment wrapText="1"/>
    </xf>
    <xf numFmtId="0" fontId="28" fillId="0" borderId="0" xfId="0" applyFont="1" applyBorder="1" applyAlignment="1">
      <alignment horizontal="center" vertical="center"/>
    </xf>
    <xf numFmtId="167" fontId="29" fillId="29" borderId="0" xfId="0" applyNumberFormat="1" applyFont="1" applyFill="1" applyBorder="1" applyAlignment="1">
      <alignment horizontal="center" vertical="center"/>
    </xf>
    <xf numFmtId="166" fontId="29" fillId="29" borderId="0" xfId="0" applyNumberFormat="1" applyFont="1" applyFill="1" applyBorder="1" applyAlignment="1">
      <alignment horizontal="center" vertical="center"/>
    </xf>
    <xf numFmtId="0" fontId="29" fillId="29" borderId="0" xfId="0" applyFont="1" applyFill="1" applyBorder="1" applyAlignment="1">
      <alignment horizontal="center" vertical="center"/>
    </xf>
    <xf numFmtId="0" fontId="31" fillId="0" borderId="0" xfId="0" applyNumberFormat="1" applyFont="1" applyAlignment="1">
      <alignment horizontal="right"/>
    </xf>
    <xf numFmtId="0" fontId="28" fillId="0" borderId="0" xfId="0" applyNumberFormat="1" applyFont="1" applyAlignment="1">
      <alignment wrapText="1"/>
    </xf>
    <xf numFmtId="166" fontId="44" fillId="29" borderId="14" xfId="0" applyNumberFormat="1" applyFont="1" applyFill="1" applyBorder="1" applyAlignment="1">
      <alignment horizontal="right" indent="1"/>
    </xf>
    <xf numFmtId="166" fontId="44" fillId="29" borderId="15" xfId="0" applyNumberFormat="1" applyFont="1" applyFill="1" applyBorder="1" applyAlignment="1">
      <alignment horizontal="right" indent="1"/>
    </xf>
    <xf numFmtId="0" fontId="44" fillId="31" borderId="14" xfId="0" applyFont="1" applyFill="1" applyBorder="1" applyAlignment="1">
      <alignment horizontal="right" indent="1"/>
    </xf>
    <xf numFmtId="0" fontId="44" fillId="31" borderId="15" xfId="0" applyFont="1" applyFill="1" applyBorder="1" applyAlignment="1">
      <alignment horizontal="right" indent="1"/>
    </xf>
    <xf numFmtId="166" fontId="44" fillId="28" borderId="17" xfId="0" applyNumberFormat="1" applyFont="1" applyFill="1" applyBorder="1" applyAlignment="1">
      <alignment horizontal="right" indent="1"/>
    </xf>
    <xf numFmtId="166" fontId="44" fillId="28" borderId="18" xfId="0" applyNumberFormat="1" applyFont="1" applyFill="1" applyBorder="1" applyAlignment="1">
      <alignment horizontal="right" indent="1"/>
    </xf>
  </cellXfs>
  <cellStyles count="51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tx_Hyperlink" xfId="28"/>
    <cellStyle name="Explanatory Text" xfId="29" builtinId="53" customBuiltin="1"/>
    <cellStyle name="Good" xfId="30" builtinId="26" customBuiltin="1"/>
    <cellStyle name="Heading 1" xfId="31" builtinId="16" customBuiltin="1"/>
    <cellStyle name="Heading 2" xfId="32" builtinId="17" customBuiltin="1"/>
    <cellStyle name="Heading 3" xfId="33" builtinId="18" customBuiltin="1"/>
    <cellStyle name="Heading 4" xfId="34" builtinId="19" customBuiltin="1"/>
    <cellStyle name="Hyperlink" xfId="49" builtinId="8"/>
    <cellStyle name="Hyperlink 2" xfId="35"/>
    <cellStyle name="Hyperlink 2 2" xfId="36"/>
    <cellStyle name="Input" xfId="37" builtinId="20" customBuiltin="1"/>
    <cellStyle name="Linked Cell" xfId="38" builtinId="24" customBuiltin="1"/>
    <cellStyle name="Neutral" xfId="39" builtinId="28" customBuiltin="1"/>
    <cellStyle name="Normal" xfId="0" builtinId="0"/>
    <cellStyle name="Normal 2" xfId="40"/>
    <cellStyle name="Normal 2 2" xfId="41"/>
    <cellStyle name="Normal 2 3 2" xfId="42"/>
    <cellStyle name="Normal 3" xfId="43"/>
    <cellStyle name="Note" xfId="44" builtinId="10" customBuiltin="1"/>
    <cellStyle name="Output" xfId="45" builtinId="21" customBuiltin="1"/>
    <cellStyle name="Percent" xfId="50" builtinId="5"/>
    <cellStyle name="Title" xfId="46" builtinId="15" customBuiltin="1"/>
    <cellStyle name="Total" xfId="47" builtinId="25" customBuiltin="1"/>
    <cellStyle name="Warning Text" xfId="48" builtinId="11" customBuiltin="1"/>
  </cellStyles>
  <dxfs count="11">
    <dxf>
      <border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  <vertical/>
        <horizontal/>
      </border>
    </dxf>
    <dxf>
      <border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5"/>
        </patternFill>
      </fill>
    </dxf>
    <dxf>
      <fill>
        <patternFill>
          <bgColor theme="0" tint="-4.9989318521683403E-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left style="thin">
          <color theme="5" tint="0.59996337778862885"/>
        </left>
        <right style="thin">
          <color theme="5" tint="0.59996337778862885"/>
        </right>
        <top style="thin">
          <color theme="5" tint="0.59996337778862885"/>
        </top>
        <bottom style="thin">
          <color theme="5" tint="0.59996337778862885"/>
        </bottom>
        <vertical/>
        <horizontal/>
      </border>
    </dxf>
    <dxf>
      <font>
        <color theme="0"/>
      </font>
      <fill>
        <patternFill>
          <bgColor theme="5"/>
        </patternFill>
      </fill>
      <border>
        <left style="thin">
          <color theme="5" tint="0.59996337778862885"/>
        </left>
        <right style="thin">
          <color theme="5" tint="0.59996337778862885"/>
        </right>
        <top style="thin">
          <color theme="5" tint="0.59996337778862885"/>
        </top>
        <bottom style="thin">
          <color theme="5" tint="0.59996337778862885"/>
        </bottom>
        <vertical/>
        <horizontal/>
      </border>
    </dxf>
    <dxf>
      <border>
        <left style="thin">
          <color theme="5" tint="0.59996337778862885"/>
        </left>
        <right style="thin">
          <color theme="5" tint="0.59996337778862885"/>
        </right>
        <top style="thin">
          <color theme="5" tint="0.59996337778862885"/>
        </top>
        <bottom style="thin">
          <color theme="5" tint="0.59996337778862885"/>
        </bottom>
        <vertical/>
        <horizontal/>
      </border>
    </dxf>
    <dxf>
      <border>
        <left style="thin">
          <color theme="5" tint="0.59996337778862885"/>
        </left>
        <right style="thin">
          <color theme="5" tint="0.59996337778862885"/>
        </right>
        <top style="thin">
          <color theme="5" tint="0.59996337778862885"/>
        </top>
        <bottom style="thin">
          <color theme="5" tint="0.59996337778862885"/>
        </bottom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DDDDDD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E1F7EA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104775</xdr:colOff>
      <xdr:row>0</xdr:row>
      <xdr:rowOff>161924</xdr:rowOff>
    </xdr:from>
    <xdr:to>
      <xdr:col>3</xdr:col>
      <xdr:colOff>61642</xdr:colOff>
      <xdr:row>2</xdr:row>
      <xdr:rowOff>219074</xdr:rowOff>
    </xdr:to>
    <xdr:pic>
      <xdr:nvPicPr>
        <xdr:cNvPr id="14" name="Picture 13" descr="Logo Selaras Semesta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19075" y="161924"/>
          <a:ext cx="2252392" cy="9429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8</xdr:row>
      <xdr:rowOff>47625</xdr:rowOff>
    </xdr:from>
    <xdr:to>
      <xdr:col>9</xdr:col>
      <xdr:colOff>438150</xdr:colOff>
      <xdr:row>9</xdr:row>
      <xdr:rowOff>57150</xdr:rowOff>
    </xdr:to>
    <xdr:sp macro="[0]!ViewLogFirst" textlink="">
      <xdr:nvSpPr>
        <xdr:cNvPr id="3" name="Rounded Rectangle 2"/>
        <xdr:cNvSpPr/>
      </xdr:nvSpPr>
      <xdr:spPr>
        <a:xfrm>
          <a:off x="5953125" y="2457450"/>
          <a:ext cx="381000" cy="238125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latin typeface="Webdings" panose="05030102010509060703" pitchFamily="18" charset="2"/>
            </a:rPr>
            <a:t>7</a:t>
          </a:r>
        </a:p>
      </xdr:txBody>
    </xdr:sp>
    <xdr:clientData/>
  </xdr:twoCellAnchor>
  <xdr:twoCellAnchor>
    <xdr:from>
      <xdr:col>9</xdr:col>
      <xdr:colOff>514350</xdr:colOff>
      <xdr:row>8</xdr:row>
      <xdr:rowOff>47625</xdr:rowOff>
    </xdr:from>
    <xdr:to>
      <xdr:col>9</xdr:col>
      <xdr:colOff>895350</xdr:colOff>
      <xdr:row>9</xdr:row>
      <xdr:rowOff>57150</xdr:rowOff>
    </xdr:to>
    <xdr:sp macro="[0]!ViewLogDown" textlink="">
      <xdr:nvSpPr>
        <xdr:cNvPr id="4" name="Rounded Rectangle 3"/>
        <xdr:cNvSpPr/>
      </xdr:nvSpPr>
      <xdr:spPr>
        <a:xfrm>
          <a:off x="6410325" y="2457450"/>
          <a:ext cx="381000" cy="238125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latin typeface="Webdings" panose="05030102010509060703" pitchFamily="18" charset="2"/>
            </a:rPr>
            <a:t>3</a:t>
          </a:r>
        </a:p>
      </xdr:txBody>
    </xdr:sp>
    <xdr:clientData/>
  </xdr:twoCellAnchor>
  <xdr:twoCellAnchor>
    <xdr:from>
      <xdr:col>9</xdr:col>
      <xdr:colOff>971550</xdr:colOff>
      <xdr:row>8</xdr:row>
      <xdr:rowOff>47625</xdr:rowOff>
    </xdr:from>
    <xdr:to>
      <xdr:col>9</xdr:col>
      <xdr:colOff>1352550</xdr:colOff>
      <xdr:row>9</xdr:row>
      <xdr:rowOff>57150</xdr:rowOff>
    </xdr:to>
    <xdr:sp macro="[0]!ViewLogUp" textlink="">
      <xdr:nvSpPr>
        <xdr:cNvPr id="5" name="Rounded Rectangle 4"/>
        <xdr:cNvSpPr/>
      </xdr:nvSpPr>
      <xdr:spPr>
        <a:xfrm>
          <a:off x="6867525" y="2457450"/>
          <a:ext cx="381000" cy="238125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latin typeface="Webdings" panose="05030102010509060703" pitchFamily="18" charset="2"/>
            </a:rPr>
            <a:t>4</a:t>
          </a:r>
        </a:p>
      </xdr:txBody>
    </xdr:sp>
    <xdr:clientData/>
  </xdr:twoCellAnchor>
  <xdr:twoCellAnchor>
    <xdr:from>
      <xdr:col>9</xdr:col>
      <xdr:colOff>1428750</xdr:colOff>
      <xdr:row>8</xdr:row>
      <xdr:rowOff>47625</xdr:rowOff>
    </xdr:from>
    <xdr:to>
      <xdr:col>9</xdr:col>
      <xdr:colOff>1809750</xdr:colOff>
      <xdr:row>9</xdr:row>
      <xdr:rowOff>57150</xdr:rowOff>
    </xdr:to>
    <xdr:sp macro="[0]!ViewLogLast" textlink="">
      <xdr:nvSpPr>
        <xdr:cNvPr id="6" name="Rounded Rectangle 5"/>
        <xdr:cNvSpPr/>
      </xdr:nvSpPr>
      <xdr:spPr>
        <a:xfrm>
          <a:off x="7324725" y="2457450"/>
          <a:ext cx="381000" cy="238125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latin typeface="Webdings" panose="05030102010509060703" pitchFamily="18" charset="2"/>
            </a:rPr>
            <a:t>8</a:t>
          </a:r>
        </a:p>
      </xdr:txBody>
    </xdr:sp>
    <xdr:clientData/>
  </xdr:twoCellAnchor>
  <xdr:twoCellAnchor>
    <xdr:from>
      <xdr:col>9</xdr:col>
      <xdr:colOff>57150</xdr:colOff>
      <xdr:row>9</xdr:row>
      <xdr:rowOff>161925</xdr:rowOff>
    </xdr:from>
    <xdr:to>
      <xdr:col>9</xdr:col>
      <xdr:colOff>438750</xdr:colOff>
      <xdr:row>9</xdr:row>
      <xdr:rowOff>399525</xdr:rowOff>
    </xdr:to>
    <xdr:sp macro="[0]!UpdateLogWorksheet" textlink="">
      <xdr:nvSpPr>
        <xdr:cNvPr id="7" name="Rounded Rectangle 6"/>
        <xdr:cNvSpPr/>
      </xdr:nvSpPr>
      <xdr:spPr>
        <a:xfrm>
          <a:off x="5953125" y="2800350"/>
          <a:ext cx="381600" cy="237600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latin typeface="Kartika" pitchFamily="18" charset="0"/>
              <a:cs typeface="Kartika" pitchFamily="18" charset="0"/>
            </a:rPr>
            <a:t>+</a:t>
          </a:r>
        </a:p>
      </xdr:txBody>
    </xdr:sp>
    <xdr:clientData/>
  </xdr:twoCellAnchor>
  <xdr:twoCellAnchor>
    <xdr:from>
      <xdr:col>9</xdr:col>
      <xdr:colOff>1428750</xdr:colOff>
      <xdr:row>9</xdr:row>
      <xdr:rowOff>142875</xdr:rowOff>
    </xdr:from>
    <xdr:to>
      <xdr:col>9</xdr:col>
      <xdr:colOff>1810350</xdr:colOff>
      <xdr:row>9</xdr:row>
      <xdr:rowOff>380475</xdr:rowOff>
    </xdr:to>
    <xdr:sp macro="[0]!ClearDataEntry" textlink="">
      <xdr:nvSpPr>
        <xdr:cNvPr id="8" name="Rounded Rectangle 7"/>
        <xdr:cNvSpPr/>
      </xdr:nvSpPr>
      <xdr:spPr>
        <a:xfrm>
          <a:off x="7324725" y="2781300"/>
          <a:ext cx="381600" cy="237600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—</a:t>
          </a:r>
        </a:p>
      </xdr:txBody>
    </xdr:sp>
    <xdr:clientData/>
  </xdr:twoCellAnchor>
  <xdr:twoCellAnchor>
    <xdr:from>
      <xdr:col>9</xdr:col>
      <xdr:colOff>561975</xdr:colOff>
      <xdr:row>9</xdr:row>
      <xdr:rowOff>152400</xdr:rowOff>
    </xdr:from>
    <xdr:to>
      <xdr:col>9</xdr:col>
      <xdr:colOff>1317975</xdr:colOff>
      <xdr:row>9</xdr:row>
      <xdr:rowOff>390000</xdr:rowOff>
    </xdr:to>
    <xdr:sp macro="[0]!UpdateLogRecord" textlink="">
      <xdr:nvSpPr>
        <xdr:cNvPr id="9" name="Rounded Rectangle 8"/>
        <xdr:cNvSpPr/>
      </xdr:nvSpPr>
      <xdr:spPr>
        <a:xfrm>
          <a:off x="6457950" y="2790825"/>
          <a:ext cx="756000" cy="237600"/>
        </a:xfrm>
        <a:prstGeom prst="roundRect">
          <a:avLst/>
        </a:prstGeom>
        <a:solidFill>
          <a:schemeClr val="accent1">
            <a:lumMod val="50000"/>
          </a:schemeClr>
        </a:solidFill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latin typeface="Kartika" panose="02020503030404060203" pitchFamily="18" charset="0"/>
              <a:cs typeface="Kartika" panose="02020503030404060203" pitchFamily="18" charset="0"/>
            </a:rPr>
            <a:t>Update</a:t>
          </a:r>
        </a:p>
      </xdr:txBody>
    </xdr:sp>
    <xdr:clientData/>
  </xdr:twoCellAnchor>
  <xdr:twoCellAnchor>
    <xdr:from>
      <xdr:col>9</xdr:col>
      <xdr:colOff>409575</xdr:colOff>
      <xdr:row>6</xdr:row>
      <xdr:rowOff>133351</xdr:rowOff>
    </xdr:from>
    <xdr:to>
      <xdr:col>9</xdr:col>
      <xdr:colOff>828675</xdr:colOff>
      <xdr:row>7</xdr:row>
      <xdr:rowOff>133351</xdr:rowOff>
    </xdr:to>
    <xdr:sp macro="" textlink="CurrRec">
      <xdr:nvSpPr>
        <xdr:cNvPr id="10" name="Rounded Rectangle 9"/>
        <xdr:cNvSpPr/>
      </xdr:nvSpPr>
      <xdr:spPr>
        <a:xfrm>
          <a:off x="6305550" y="2085976"/>
          <a:ext cx="419100" cy="22860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42BF49AD-79F1-4D3D-942F-C32DFBEF8212}" type="TxLink">
            <a:rPr lang="en-US" sz="800" b="0" i="0" u="none" strike="noStrike">
              <a:solidFill>
                <a:srgbClr val="000000"/>
              </a:solidFill>
              <a:latin typeface="Kartika" panose="02020503030404060203" pitchFamily="18" charset="0"/>
              <a:cs typeface="Kartika" panose="02020503030404060203" pitchFamily="18" charset="0"/>
            </a:rPr>
            <a:pPr algn="ctr"/>
            <a:t>0</a:t>
          </a:fld>
          <a:endParaRPr lang="en-US" sz="1050">
            <a:latin typeface="Kartika" panose="02020503030404060203" pitchFamily="18" charset="0"/>
            <a:cs typeface="Kartika" panose="02020503030404060203" pitchFamily="18" charset="0"/>
          </a:endParaRPr>
        </a:p>
      </xdr:txBody>
    </xdr:sp>
    <xdr:clientData/>
  </xdr:twoCellAnchor>
  <xdr:twoCellAnchor>
    <xdr:from>
      <xdr:col>9</xdr:col>
      <xdr:colOff>761999</xdr:colOff>
      <xdr:row>6</xdr:row>
      <xdr:rowOff>133350</xdr:rowOff>
    </xdr:from>
    <xdr:to>
      <xdr:col>9</xdr:col>
      <xdr:colOff>1266824</xdr:colOff>
      <xdr:row>7</xdr:row>
      <xdr:rowOff>161925</xdr:rowOff>
    </xdr:to>
    <xdr:sp macro="" textlink="">
      <xdr:nvSpPr>
        <xdr:cNvPr id="11" name="Rounded Rectangle 10"/>
        <xdr:cNvSpPr/>
      </xdr:nvSpPr>
      <xdr:spPr>
        <a:xfrm>
          <a:off x="6657974" y="2085975"/>
          <a:ext cx="504825" cy="257175"/>
        </a:xfrm>
        <a:prstGeom prst="round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latin typeface="Kartika" panose="02020503030404060203" pitchFamily="18" charset="0"/>
              <a:cs typeface="Kartika" panose="02020503030404060203" pitchFamily="18" charset="0"/>
            </a:rPr>
            <a:t>dari</a:t>
          </a:r>
        </a:p>
      </xdr:txBody>
    </xdr:sp>
    <xdr:clientData/>
  </xdr:twoCellAnchor>
  <xdr:twoCellAnchor>
    <xdr:from>
      <xdr:col>9</xdr:col>
      <xdr:colOff>1190625</xdr:colOff>
      <xdr:row>6</xdr:row>
      <xdr:rowOff>133351</xdr:rowOff>
    </xdr:from>
    <xdr:to>
      <xdr:col>9</xdr:col>
      <xdr:colOff>1609725</xdr:colOff>
      <xdr:row>7</xdr:row>
      <xdr:rowOff>133351</xdr:rowOff>
    </xdr:to>
    <xdr:sp macro="" textlink="$R$6">
      <xdr:nvSpPr>
        <xdr:cNvPr id="12" name="Rounded Rectangle 11"/>
        <xdr:cNvSpPr/>
      </xdr:nvSpPr>
      <xdr:spPr>
        <a:xfrm>
          <a:off x="7086600" y="2085976"/>
          <a:ext cx="419100" cy="22860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CC5D5ECE-830D-4A93-897C-10E4AB8F4547}" type="TxLink">
            <a:rPr lang="en-US" sz="900" b="0" i="0" u="none" strike="noStrike">
              <a:solidFill>
                <a:srgbClr val="000000"/>
              </a:solidFill>
              <a:latin typeface="Kartika"/>
              <a:cs typeface="Kartika"/>
            </a:rPr>
            <a:pPr algn="ctr"/>
            <a:t>35</a:t>
          </a:fld>
          <a:endParaRPr lang="en-US" sz="1050">
            <a:latin typeface="Kartika" panose="02020503030404060203" pitchFamily="18" charset="0"/>
            <a:cs typeface="Kartika" panose="02020503030404060203" pitchFamily="18" charset="0"/>
          </a:endParaRPr>
        </a:p>
      </xdr:txBody>
    </xdr:sp>
    <xdr:clientData/>
  </xdr:twoCellAnchor>
  <xdr:twoCellAnchor>
    <xdr:from>
      <xdr:col>7</xdr:col>
      <xdr:colOff>409575</xdr:colOff>
      <xdr:row>2</xdr:row>
      <xdr:rowOff>304799</xdr:rowOff>
    </xdr:from>
    <xdr:to>
      <xdr:col>11</xdr:col>
      <xdr:colOff>57150</xdr:colOff>
      <xdr:row>12</xdr:row>
      <xdr:rowOff>28574</xdr:rowOff>
    </xdr:to>
    <xdr:sp macro="" textlink="">
      <xdr:nvSpPr>
        <xdr:cNvPr id="13" name="Rectangle 12"/>
        <xdr:cNvSpPr/>
      </xdr:nvSpPr>
      <xdr:spPr>
        <a:xfrm>
          <a:off x="5610225" y="1190624"/>
          <a:ext cx="4286250" cy="265747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id-ID" sz="1100"/>
        </a:p>
      </xdr:txBody>
    </xdr:sp>
    <xdr:clientData/>
  </xdr:twoCellAnchor>
  <xdr:twoCellAnchor>
    <xdr:from>
      <xdr:col>9</xdr:col>
      <xdr:colOff>66674</xdr:colOff>
      <xdr:row>9</xdr:row>
      <xdr:rowOff>495300</xdr:rowOff>
    </xdr:from>
    <xdr:to>
      <xdr:col>9</xdr:col>
      <xdr:colOff>1828799</xdr:colOff>
      <xdr:row>10</xdr:row>
      <xdr:rowOff>9000</xdr:rowOff>
    </xdr:to>
    <xdr:sp macro="[0]!GoInventory" textlink="">
      <xdr:nvSpPr>
        <xdr:cNvPr id="15" name="Rounded Rectangle 14"/>
        <xdr:cNvSpPr/>
      </xdr:nvSpPr>
      <xdr:spPr>
        <a:xfrm>
          <a:off x="5962649" y="3133725"/>
          <a:ext cx="1762125" cy="237600"/>
        </a:xfrm>
        <a:prstGeom prst="roundRect">
          <a:avLst/>
        </a:prstGeom>
        <a:solidFill>
          <a:schemeClr val="accent1">
            <a:lumMod val="50000"/>
          </a:schemeClr>
        </a:solidFill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latin typeface="Kartika" panose="02020503030404060203" pitchFamily="18" charset="0"/>
              <a:cs typeface="Kartika" panose="02020503030404060203" pitchFamily="18" charset="0"/>
            </a:rPr>
            <a:t>Lihat Database</a:t>
          </a:r>
        </a:p>
      </xdr:txBody>
    </xdr:sp>
    <xdr:clientData/>
  </xdr:twoCellAnchor>
  <xdr:twoCellAnchor>
    <xdr:from>
      <xdr:col>9</xdr:col>
      <xdr:colOff>57150</xdr:colOff>
      <xdr:row>10</xdr:row>
      <xdr:rowOff>85725</xdr:rowOff>
    </xdr:from>
    <xdr:to>
      <xdr:col>9</xdr:col>
      <xdr:colOff>1819275</xdr:colOff>
      <xdr:row>11</xdr:row>
      <xdr:rowOff>94725</xdr:rowOff>
    </xdr:to>
    <xdr:sp macro="[0]!Simpan" textlink="">
      <xdr:nvSpPr>
        <xdr:cNvPr id="21" name="Rounded Rectangle 20"/>
        <xdr:cNvSpPr/>
      </xdr:nvSpPr>
      <xdr:spPr>
        <a:xfrm>
          <a:off x="5953125" y="3448050"/>
          <a:ext cx="1762125" cy="237600"/>
        </a:xfrm>
        <a:prstGeom prst="roundRect">
          <a:avLst/>
        </a:prstGeom>
        <a:solidFill>
          <a:schemeClr val="accent1">
            <a:lumMod val="50000"/>
          </a:schemeClr>
        </a:solidFill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latin typeface="Kartika" panose="02020503030404060203" pitchFamily="18" charset="0"/>
              <a:cs typeface="Kartika" panose="02020503030404060203" pitchFamily="18" charset="0"/>
            </a:rPr>
            <a:t>Simpan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</xdr:row>
      <xdr:rowOff>0</xdr:rowOff>
    </xdr:from>
    <xdr:to>
      <xdr:col>6</xdr:col>
      <xdr:colOff>7620</xdr:colOff>
      <xdr:row>1</xdr:row>
      <xdr:rowOff>7620</xdr:rowOff>
    </xdr:to>
    <xdr:pic>
      <xdr:nvPicPr>
        <xdr:cNvPr id="1146" name="Picture 8" descr="c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68240" y="54864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123825</xdr:colOff>
      <xdr:row>2</xdr:row>
      <xdr:rowOff>47625</xdr:rowOff>
    </xdr:from>
    <xdr:to>
      <xdr:col>5</xdr:col>
      <xdr:colOff>257175</xdr:colOff>
      <xdr:row>3</xdr:row>
      <xdr:rowOff>209550</xdr:rowOff>
    </xdr:to>
    <xdr:sp macro="[0]!Cari" textlink="">
      <xdr:nvSpPr>
        <xdr:cNvPr id="2" name="Rounded Rectangle 1"/>
        <xdr:cNvSpPr/>
      </xdr:nvSpPr>
      <xdr:spPr>
        <a:xfrm>
          <a:off x="6248400" y="714375"/>
          <a:ext cx="1181100" cy="381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Cari Data</a:t>
          </a:r>
          <a:endParaRPr lang="id-ID" sz="1100"/>
        </a:p>
      </xdr:txBody>
    </xdr:sp>
    <xdr:clientData/>
  </xdr:twoCellAnchor>
  <xdr:twoCellAnchor>
    <xdr:from>
      <xdr:col>5</xdr:col>
      <xdr:colOff>342900</xdr:colOff>
      <xdr:row>2</xdr:row>
      <xdr:rowOff>47625</xdr:rowOff>
    </xdr:from>
    <xdr:to>
      <xdr:col>6</xdr:col>
      <xdr:colOff>180975</xdr:colOff>
      <xdr:row>3</xdr:row>
      <xdr:rowOff>209550</xdr:rowOff>
    </xdr:to>
    <xdr:sp macro="[0]!Bersihkan" textlink="">
      <xdr:nvSpPr>
        <xdr:cNvPr id="3" name="Rounded Rectangle 2"/>
        <xdr:cNvSpPr/>
      </xdr:nvSpPr>
      <xdr:spPr>
        <a:xfrm>
          <a:off x="7515225" y="714375"/>
          <a:ext cx="1181100" cy="381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Bersihkan</a:t>
          </a:r>
          <a:endParaRPr lang="id-ID" sz="1100"/>
        </a:p>
      </xdr:txBody>
    </xdr:sp>
    <xdr:clientData/>
  </xdr:twoCellAnchor>
  <xdr:twoCellAnchor>
    <xdr:from>
      <xdr:col>2</xdr:col>
      <xdr:colOff>76200</xdr:colOff>
      <xdr:row>4</xdr:row>
      <xdr:rowOff>171450</xdr:rowOff>
    </xdr:from>
    <xdr:to>
      <xdr:col>2</xdr:col>
      <xdr:colOff>504825</xdr:colOff>
      <xdr:row>6</xdr:row>
      <xdr:rowOff>9525</xdr:rowOff>
    </xdr:to>
    <xdr:sp macro="" textlink="$C$6">
      <xdr:nvSpPr>
        <xdr:cNvPr id="4" name="Rounded Rectangle 3"/>
        <xdr:cNvSpPr/>
      </xdr:nvSpPr>
      <xdr:spPr>
        <a:xfrm>
          <a:off x="2257425" y="1276350"/>
          <a:ext cx="428625" cy="266700"/>
        </a:xfrm>
        <a:prstGeom prst="roundRect">
          <a:avLst/>
        </a:prstGeom>
        <a:solidFill>
          <a:schemeClr val="accent1">
            <a:lumMod val="75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fld id="{E8BEA5B8-7A34-4E39-8FFD-DAFF5D7B1087}" type="TxLink">
            <a:rPr lang="id-ID" sz="1100"/>
            <a:pPr algn="ctr"/>
            <a:t>14</a:t>
          </a:fld>
          <a:endParaRPr lang="id-ID" sz="1100"/>
        </a:p>
      </xdr:txBody>
    </xdr:sp>
    <xdr:clientData/>
  </xdr:twoCellAnchor>
  <xdr:twoCellAnchor>
    <xdr:from>
      <xdr:col>2</xdr:col>
      <xdr:colOff>76200</xdr:colOff>
      <xdr:row>6</xdr:row>
      <xdr:rowOff>152400</xdr:rowOff>
    </xdr:from>
    <xdr:to>
      <xdr:col>2</xdr:col>
      <xdr:colOff>504825</xdr:colOff>
      <xdr:row>6</xdr:row>
      <xdr:rowOff>419100</xdr:rowOff>
    </xdr:to>
    <xdr:sp macro="" textlink="$C$7">
      <xdr:nvSpPr>
        <xdr:cNvPr id="5" name="Rounded Rectangle 4"/>
        <xdr:cNvSpPr/>
      </xdr:nvSpPr>
      <xdr:spPr>
        <a:xfrm>
          <a:off x="2257425" y="1685925"/>
          <a:ext cx="428625" cy="266700"/>
        </a:xfrm>
        <a:prstGeom prst="roundRect">
          <a:avLst/>
        </a:prstGeom>
        <a:solidFill>
          <a:schemeClr val="accent1">
            <a:lumMod val="75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fld id="{28A0B6AE-0852-493C-8C5F-5A7ACECE9841}" type="TxLink">
            <a:rPr lang="id-ID" sz="1100"/>
            <a:pPr algn="ctr"/>
            <a:t>0</a:t>
          </a:fld>
          <a:endParaRPr lang="id-ID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3</xdr:row>
      <xdr:rowOff>161925</xdr:rowOff>
    </xdr:from>
    <xdr:to>
      <xdr:col>2</xdr:col>
      <xdr:colOff>85725</xdr:colOff>
      <xdr:row>5</xdr:row>
      <xdr:rowOff>161925</xdr:rowOff>
    </xdr:to>
    <xdr:sp macro="[0]!Stok" textlink="">
      <xdr:nvSpPr>
        <xdr:cNvPr id="4" name="Rounded Rectangle 3"/>
        <xdr:cNvSpPr/>
      </xdr:nvSpPr>
      <xdr:spPr>
        <a:xfrm>
          <a:off x="47625" y="847725"/>
          <a:ext cx="1085850" cy="3429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Simpan</a:t>
          </a:r>
          <a:endParaRPr lang="id-ID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276225</xdr:colOff>
      <xdr:row>7</xdr:row>
      <xdr:rowOff>114300</xdr:rowOff>
    </xdr:from>
    <xdr:to>
      <xdr:col>2</xdr:col>
      <xdr:colOff>390525</xdr:colOff>
      <xdr:row>9</xdr:row>
      <xdr:rowOff>133350</xdr:rowOff>
    </xdr:to>
    <xdr:sp macro="[0]!Pemesanan" textlink="">
      <xdr:nvSpPr>
        <xdr:cNvPr id="11" name="Rounded Rectangle 10"/>
        <xdr:cNvSpPr/>
      </xdr:nvSpPr>
      <xdr:spPr>
        <a:xfrm>
          <a:off x="276225" y="1781175"/>
          <a:ext cx="1352550" cy="36195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Simpan</a:t>
          </a:r>
          <a:endParaRPr lang="id-ID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5</xdr:row>
      <xdr:rowOff>76201</xdr:rowOff>
    </xdr:from>
    <xdr:to>
      <xdr:col>1</xdr:col>
      <xdr:colOff>1390650</xdr:colOff>
      <xdr:row>7</xdr:row>
      <xdr:rowOff>1</xdr:rowOff>
    </xdr:to>
    <xdr:sp macro="[0]!LihatPemesanan" textlink="">
      <xdr:nvSpPr>
        <xdr:cNvPr id="8" name="Rounded Rectangle 7"/>
        <xdr:cNvSpPr/>
      </xdr:nvSpPr>
      <xdr:spPr>
        <a:xfrm>
          <a:off x="628650" y="1019176"/>
          <a:ext cx="1371600" cy="2667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Lihat Pemesanan</a:t>
          </a:r>
          <a:endParaRPr lang="id-ID" sz="1100"/>
        </a:p>
      </xdr:txBody>
    </xdr:sp>
    <xdr:clientData/>
  </xdr:twoCellAnchor>
  <xdr:twoCellAnchor>
    <xdr:from>
      <xdr:col>1</xdr:col>
      <xdr:colOff>1438275</xdr:colOff>
      <xdr:row>5</xdr:row>
      <xdr:rowOff>76201</xdr:rowOff>
    </xdr:from>
    <xdr:to>
      <xdr:col>2</xdr:col>
      <xdr:colOff>1095375</xdr:colOff>
      <xdr:row>7</xdr:row>
      <xdr:rowOff>1</xdr:rowOff>
    </xdr:to>
    <xdr:sp macro="[0]!BersihPemesanan" textlink="">
      <xdr:nvSpPr>
        <xdr:cNvPr id="9" name="Rounded Rectangle 8"/>
        <xdr:cNvSpPr/>
      </xdr:nvSpPr>
      <xdr:spPr>
        <a:xfrm>
          <a:off x="2047875" y="1019176"/>
          <a:ext cx="1371600" cy="2667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Bersihkan</a:t>
          </a:r>
          <a:endParaRPr lang="id-ID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Paper">
      <a:dk1>
        <a:sysClr val="windowText" lastClr="000000"/>
      </a:dk1>
      <a:lt1>
        <a:sysClr val="window" lastClr="FFFFFF"/>
      </a:lt1>
      <a:dk2>
        <a:srgbClr val="444D26"/>
      </a:dk2>
      <a:lt2>
        <a:srgbClr val="FEFAC9"/>
      </a:lt2>
      <a:accent1>
        <a:srgbClr val="A5B592"/>
      </a:accent1>
      <a:accent2>
        <a:srgbClr val="F3A447"/>
      </a:accent2>
      <a:accent3>
        <a:srgbClr val="E7BC29"/>
      </a:accent3>
      <a:accent4>
        <a:srgbClr val="D092A7"/>
      </a:accent4>
      <a:accent5>
        <a:srgbClr val="9C85C0"/>
      </a:accent5>
      <a:accent6>
        <a:srgbClr val="809EC2"/>
      </a:accent6>
      <a:hlink>
        <a:srgbClr val="8E58B6"/>
      </a:hlink>
      <a:folHlink>
        <a:srgbClr val="7F6F6F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facebook.com/winny.survianiza.7" TargetMode="External"/><Relationship Id="rId3" Type="http://schemas.openxmlformats.org/officeDocument/2006/relationships/hyperlink" Target="https://www.facebook.com/ida.dewi.3" TargetMode="External"/><Relationship Id="rId7" Type="http://schemas.openxmlformats.org/officeDocument/2006/relationships/hyperlink" Target="https://www.facebook.com/ifakho" TargetMode="External"/><Relationship Id="rId2" Type="http://schemas.openxmlformats.org/officeDocument/2006/relationships/hyperlink" Target="https://www.facebook.com/praya.indrayana" TargetMode="External"/><Relationship Id="rId1" Type="http://schemas.openxmlformats.org/officeDocument/2006/relationships/hyperlink" Target="http://facebook.com/ani.herningsih" TargetMode="External"/><Relationship Id="rId6" Type="http://schemas.openxmlformats.org/officeDocument/2006/relationships/hyperlink" Target="https://www.facebook.com/rini.ks.5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mailto:tikamusik@yahoo.com" TargetMode="Externa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mailto:prayaarie@gmail.com" TargetMode="External"/><Relationship Id="rId9" Type="http://schemas.openxmlformats.org/officeDocument/2006/relationships/hyperlink" Target="https://www.facebook.com/srie.mulyasari.7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AA201"/>
  <sheetViews>
    <sheetView showGridLines="0" topLeftCell="M1" workbookViewId="0">
      <selection activeCell="AA1" sqref="AA1"/>
    </sheetView>
  </sheetViews>
  <sheetFormatPr defaultRowHeight="15.75"/>
  <cols>
    <col min="1" max="1" width="27.28515625" bestFit="1" customWidth="1"/>
    <col min="2" max="2" width="13.140625" style="19" bestFit="1" customWidth="1"/>
    <col min="7" max="7" width="9.140625" customWidth="1"/>
    <col min="8" max="8" width="10.140625" customWidth="1"/>
    <col min="9" max="9" width="13.140625" customWidth="1"/>
    <col min="10" max="10" width="18.85546875" customWidth="1"/>
    <col min="11" max="11" width="9.140625" customWidth="1"/>
    <col min="12" max="12" width="18.85546875" customWidth="1"/>
    <col min="13" max="13" width="14.42578125" customWidth="1"/>
    <col min="14" max="14" width="18.85546875" customWidth="1"/>
    <col min="15" max="18" width="9.140625" customWidth="1"/>
    <col min="19" max="19" width="14.42578125" bestFit="1" customWidth="1"/>
    <col min="20" max="20" width="18.85546875" bestFit="1" customWidth="1"/>
    <col min="24" max="24" width="14.42578125" bestFit="1" customWidth="1"/>
    <col min="25" max="25" width="18.85546875" bestFit="1" customWidth="1"/>
  </cols>
  <sheetData>
    <row r="1" spans="1:27" ht="18" customHeight="1">
      <c r="A1" s="72" t="s">
        <v>22</v>
      </c>
      <c r="B1" s="73" t="s">
        <v>17</v>
      </c>
      <c r="G1" s="21" t="s">
        <v>35</v>
      </c>
      <c r="H1" s="21" t="s">
        <v>42</v>
      </c>
      <c r="I1" s="19" t="e">
        <f ca="1">INDEX(HPKontak,MATCH(OrderID,DaftarKontak,0))</f>
        <v>#N/A</v>
      </c>
      <c r="J1" s="21" t="s">
        <v>47</v>
      </c>
      <c r="L1" s="21" t="s">
        <v>25</v>
      </c>
      <c r="N1" s="21" t="s">
        <v>98</v>
      </c>
      <c r="P1" s="21" t="s">
        <v>99</v>
      </c>
      <c r="T1" s="21" t="s">
        <v>150</v>
      </c>
      <c r="V1" s="21" t="s">
        <v>151</v>
      </c>
      <c r="Y1" s="21" t="s">
        <v>151</v>
      </c>
      <c r="AA1" s="21" t="s">
        <v>151</v>
      </c>
    </row>
    <row r="2" spans="1:27" ht="18" customHeight="1">
      <c r="A2" s="16" t="s">
        <v>18</v>
      </c>
      <c r="B2" s="18">
        <v>81322260653</v>
      </c>
      <c r="G2" s="21" t="s">
        <v>45</v>
      </c>
      <c r="H2" s="21" t="s">
        <v>43</v>
      </c>
      <c r="I2" t="str">
        <f>Input!J5</f>
        <v>Budhi Supriatna</v>
      </c>
      <c r="J2" t="str">
        <f t="array" aca="1" ref="J2" ca="1">IFERROR(INDEX(DaftarPembeli,SMALL(IF(OrderIDList=$I$2,ROW(DaftarPembeli)-ROW(PartsData!E$2)+1),ROWS(PartsData!E$2:'PartsData'!E2))),"")</f>
        <v>Praya Arie Indrayana</v>
      </c>
      <c r="K2">
        <f ca="1">IF(J2="","",COUNTIF(ListPembeli,"&lt;="&amp;$J2))</f>
        <v>9</v>
      </c>
      <c r="L2" t="str">
        <f ca="1">IF(K2="","",INDEX(ListPembeli,MATCH(ROWS($K$2:$K2),$K$2:$K$201,0)))</f>
        <v>Ahmad Baiquni</v>
      </c>
      <c r="M2" t="str">
        <f>CariData!B4</f>
        <v>Budhi Supriatna</v>
      </c>
      <c r="N2" t="str">
        <f t="array" aca="1" ref="N2" ca="1">IFERROR(INDEX(DaftarPembeli,SMALL(IF(OrderIDList=$M$2,ROW(DaftarPembeli)-ROW(PartsData!E$2)+1),ROWS(PartsData!E$2:'PartsData'!E2))),"")</f>
        <v>Praya Arie Indrayana</v>
      </c>
      <c r="O2">
        <f ca="1">IF(N2="","",COUNTIF(ListCariPembeli,"&lt;="&amp;$N2))</f>
        <v>9</v>
      </c>
      <c r="P2" t="str">
        <f ca="1">IF(O2="","",INDEX(ListCariPembeli,MATCH(ROWS($O$2:$O2),$O$2:$O$201,0)))</f>
        <v>Ahmad Baiquni</v>
      </c>
      <c r="S2">
        <f>InputPemesanan!E6</f>
        <v>0</v>
      </c>
      <c r="T2" t="str">
        <f t="array" aca="1" ref="T2" ca="1">IFERROR(INDEX(DaftarPembeli,SMALL(IF(OrderIDList=$S$2,ROW(DaftarPembeli)-ROW(PartsData!E$2)+1),ROWS(PartsData!E$2:'PartsData'!E2))),"")</f>
        <v/>
      </c>
      <c r="U2" s="77" t="str">
        <f ca="1">IF(T2="","",COUNTIF(ListNamaPembeli,"&lt;="&amp;$T2))</f>
        <v/>
      </c>
      <c r="V2" s="77" t="str">
        <f ca="1">IF(U2="","",INDEX(ListNamaPembeli,MATCH(ROWS($U$2:$U2),$U$2:$U$201,0)))</f>
        <v/>
      </c>
      <c r="X2">
        <f>LihatPemesanan!D4</f>
        <v>0</v>
      </c>
      <c r="Y2" s="77" t="str">
        <f t="array" aca="1" ref="Y2" ca="1">IFERROR(INDEX(RekapPembeli,SMALL(IF(RekapKontak=$X$2,ROW(RekapPembeli)-ROW(DataPemesanan!F$2)+1),ROWS(DataPemesanan!F$2:'DataPemesanan'!F2))),"")</f>
        <v/>
      </c>
      <c r="Z2" s="77" t="str">
        <f ca="1">IF(Y2="","",COUNTIF(DataRekapPembeli,"&lt;="&amp;$Y2))</f>
        <v/>
      </c>
      <c r="AA2" s="77" t="str">
        <f ca="1">IF(Z2="","",INDEX(DataRekapPembeli,MATCH(ROWS($Z$2:$Z2),$Z$2:$Z$201,0)))</f>
        <v/>
      </c>
    </row>
    <row r="3" spans="1:27" ht="18" customHeight="1">
      <c r="A3" s="16" t="s">
        <v>19</v>
      </c>
      <c r="B3" s="18">
        <v>87722238877</v>
      </c>
      <c r="J3" t="str">
        <f t="array" aca="1" ref="J3" ca="1">IFERROR(INDEX(DaftarPembeli,SMALL(IF(OrderIDList=$I$2,ROW(DaftarPembeli)-ROW(PartsData!E$2)+1),ROWS(PartsData!E$2:'PartsData'!E3))),"")</f>
        <v>Ani Herningsih</v>
      </c>
      <c r="K3">
        <f ca="1">IF(J3="","",COUNTIF(ListPembeli,"&lt;="&amp;$J3))</f>
        <v>2</v>
      </c>
      <c r="L3" t="str">
        <f ca="1">IF(K3="","",INDEX(ListPembeli,MATCH(ROWS($K$2:$K3),$K$2:$K$101,0)))</f>
        <v>Ani Herningsih</v>
      </c>
      <c r="N3" s="77" t="str">
        <f t="array" aca="1" ref="N3" ca="1">IFERROR(INDEX(DaftarPembeli,SMALL(IF(OrderIDList=$M$2,ROW(DaftarPembeli)-ROW(PartsData!E$2)+1),ROWS(PartsData!E$2:'PartsData'!E3))),"")</f>
        <v>Ani Herningsih</v>
      </c>
      <c r="O3">
        <f ca="1">IF(N3="","",COUNTIF(ListCariPembeli,"&lt;="&amp;$N3))</f>
        <v>2</v>
      </c>
      <c r="P3" t="str">
        <f ca="1">IF(O3="","",INDEX(ListCariPembeli,MATCH(ROWS($O$2:$O3),$O$2:$O$201,0)))</f>
        <v>Ani Herningsih</v>
      </c>
      <c r="T3" s="77" t="str">
        <f t="array" aca="1" ref="T3" ca="1">IFERROR(INDEX(DaftarPembeli,SMALL(IF(OrderIDList=$S$2,ROW(DaftarPembeli)-ROW(PartsData!E$2)+1),ROWS(PartsData!E$2:'PartsData'!E3))),"")</f>
        <v/>
      </c>
      <c r="U3" s="77" t="str">
        <f ca="1">IF(T3="","",COUNTIF(ListNamaPembeli,"&lt;="&amp;$T3))</f>
        <v/>
      </c>
      <c r="V3" s="77" t="str">
        <f ca="1">IF(U3="","",INDEX(ListNamaPembeli,MATCH(ROWS($U$2:$U3),$U$2:$U$201,0)))</f>
        <v/>
      </c>
      <c r="Y3" s="77" t="str">
        <f t="array" aca="1" ref="Y3" ca="1">IFERROR(INDEX(RekapPembeli,SMALL(IF(RekapKontak=$X$2,ROW(RekapPembeli)-ROW(DataPemesanan!F$2)+1),ROWS(DataPemesanan!F$2:'DataPemesanan'!F3))),"")</f>
        <v/>
      </c>
      <c r="Z3" s="77" t="str">
        <f ca="1">IF(Y3="","",COUNTIF(DataRekapPembeli,"&lt;="&amp;$Y3))</f>
        <v/>
      </c>
      <c r="AA3" s="77" t="str">
        <f ca="1">IF(Z3="","",INDEX(DataRekapPembeli,MATCH(ROWS($Z$2:$Z3),$Z$2:$Z$201,0)))</f>
        <v/>
      </c>
    </row>
    <row r="4" spans="1:27" ht="18" customHeight="1">
      <c r="A4" s="16" t="s">
        <v>20</v>
      </c>
      <c r="B4" s="18">
        <v>89655913283</v>
      </c>
      <c r="J4" t="str">
        <f t="array" aca="1" ref="J4" ca="1">IFERROR(INDEX(DaftarPembeli,SMALL(IF(OrderIDList=$I$2,ROW(DaftarPembeli)-ROW(PartsData!E$2)+1),ROWS(PartsData!E$2:'PartsData'!E4))),"")</f>
        <v>Rini T</v>
      </c>
      <c r="K4">
        <f ca="1">IF(J4="","",COUNTIF(ListPembeli,"&lt;="&amp;$J4))</f>
        <v>10</v>
      </c>
      <c r="L4" t="str">
        <f ca="1">IF(K4="","",INDEX(ListPembeli,MATCH(ROWS($K$2:$K4),$K$2:$K$101,0)))</f>
        <v>Hesti</v>
      </c>
      <c r="N4" s="77" t="str">
        <f t="array" aca="1" ref="N4" ca="1">IFERROR(INDEX(DaftarPembeli,SMALL(IF(OrderIDList=$M$2,ROW(DaftarPembeli)-ROW(PartsData!E$2)+1),ROWS(PartsData!E$2:'PartsData'!E4))),"")</f>
        <v>Rini T</v>
      </c>
      <c r="O4">
        <f ca="1">IF(N4="","",COUNTIF(ListCariPembeli,"&lt;="&amp;$N4))</f>
        <v>10</v>
      </c>
      <c r="P4" t="str">
        <f ca="1">IF(O4="","",INDEX(ListCariPembeli,MATCH(ROWS($O$2:$O4),$O$2:$O$201,0)))</f>
        <v>Hesti</v>
      </c>
      <c r="T4" s="77" t="str">
        <f t="array" aca="1" ref="T4" ca="1">IFERROR(INDEX(DaftarPembeli,SMALL(IF(OrderIDList=$S$2,ROW(DaftarPembeli)-ROW(PartsData!E$2)+1),ROWS(PartsData!E$2:'PartsData'!E4))),"")</f>
        <v/>
      </c>
      <c r="U4" s="77" t="str">
        <f ca="1">IF(T4="","",COUNTIF(ListNamaPembeli,"&lt;="&amp;$T4))</f>
        <v/>
      </c>
      <c r="V4" s="77" t="str">
        <f ca="1">IF(U4="","",INDEX(ListNamaPembeli,MATCH(ROWS($U$2:$U4),$U$2:$U$201,0)))</f>
        <v/>
      </c>
      <c r="Y4" s="77" t="str">
        <f t="array" aca="1" ref="Y4" ca="1">IFERROR(INDEX(RekapPembeli,SMALL(IF(RekapKontak=$X$2,ROW(RekapPembeli)-ROW(DataPemesanan!F$2)+1),ROWS(DataPemesanan!F$2:'DataPemesanan'!F4))),"")</f>
        <v/>
      </c>
      <c r="Z4" s="77" t="str">
        <f ca="1">IF(Y4="","",COUNTIF(DataRekapPembeli,"&lt;="&amp;$Y4))</f>
        <v/>
      </c>
      <c r="AA4" s="77" t="str">
        <f ca="1">IF(Z4="","",INDEX(DataRekapPembeli,MATCH(ROWS($Z$2:$Z4),$Z$2:$Z$201,0)))</f>
        <v/>
      </c>
    </row>
    <row r="5" spans="1:27" ht="18" customHeight="1">
      <c r="A5" s="16" t="s">
        <v>49</v>
      </c>
      <c r="B5" s="17">
        <v>2287341165</v>
      </c>
      <c r="C5" s="11"/>
      <c r="J5" t="str">
        <f t="array" aca="1" ref="J5" ca="1">IFERROR(INDEX(DaftarPembeli,SMALL(IF(OrderIDList=$I$2,ROW(DaftarPembeli)-ROW(PartsData!E$2)+1),ROWS(PartsData!E$2:'PartsData'!E5))),"")</f>
        <v>Ifa</v>
      </c>
      <c r="K5">
        <f ca="1">IF(J5="","",COUNTIF(ListPembeli,"&lt;="&amp;$J5))</f>
        <v>4</v>
      </c>
      <c r="L5" t="str">
        <f ca="1">IF(K5="","",INDEX(ListPembeli,MATCH(ROWS($K$2:$K5),$K$2:$K$101,0)))</f>
        <v>Ifa</v>
      </c>
      <c r="N5" s="77" t="str">
        <f t="array" aca="1" ref="N5" ca="1">IFERROR(INDEX(DaftarPembeli,SMALL(IF(OrderIDList=$M$2,ROW(DaftarPembeli)-ROW(PartsData!E$2)+1),ROWS(PartsData!E$2:'PartsData'!E5))),"")</f>
        <v>Ifa</v>
      </c>
      <c r="O5">
        <f ca="1">IF(N5="","",COUNTIF(ListCariPembeli,"&lt;="&amp;$N5))</f>
        <v>4</v>
      </c>
      <c r="P5" t="str">
        <f ca="1">IF(O5="","",INDEX(ListCariPembeli,MATCH(ROWS($O$2:$O5),$O$2:$O$201,0)))</f>
        <v>Ifa</v>
      </c>
      <c r="T5" s="77" t="str">
        <f t="array" aca="1" ref="T5" ca="1">IFERROR(INDEX(DaftarPembeli,SMALL(IF(OrderIDList=$S$2,ROW(DaftarPembeli)-ROW(PartsData!E$2)+1),ROWS(PartsData!E$2:'PartsData'!E5))),"")</f>
        <v/>
      </c>
      <c r="U5" s="77" t="str">
        <f ca="1">IF(T5="","",COUNTIF(ListNamaPembeli,"&lt;="&amp;$T5))</f>
        <v/>
      </c>
      <c r="V5" s="77" t="str">
        <f ca="1">IF(U5="","",INDEX(ListNamaPembeli,MATCH(ROWS($U$2:$U5),$U$2:$U$201,0)))</f>
        <v/>
      </c>
      <c r="Y5" s="77" t="str">
        <f t="array" aca="1" ref="Y5" ca="1">IFERROR(INDEX(RekapPembeli,SMALL(IF(RekapKontak=$X$2,ROW(RekapPembeli)-ROW(DataPemesanan!F$2)+1),ROWS(DataPemesanan!F$2:'DataPemesanan'!F5))),"")</f>
        <v/>
      </c>
      <c r="Z5" s="77" t="str">
        <f ca="1">IF(Y5="","",COUNTIF(DataRekapPembeli,"&lt;="&amp;$Y5))</f>
        <v/>
      </c>
      <c r="AA5" s="77" t="str">
        <f ca="1">IF(Z5="","",INDEX(DataRekapPembeli,MATCH(ROWS($Z$2:$Z5),$Z$2:$Z$201,0)))</f>
        <v/>
      </c>
    </row>
    <row r="6" spans="1:27" ht="18" customHeight="1">
      <c r="A6" s="16" t="s">
        <v>75</v>
      </c>
      <c r="B6" s="17">
        <v>0</v>
      </c>
      <c r="J6" t="str">
        <f t="array" aca="1" ref="J6" ca="1">IFERROR(INDEX(DaftarPembeli,SMALL(IF(OrderIDList=$I$2,ROW(DaftarPembeli)-ROW(PartsData!E$2)+1),ROWS(PartsData!E$2:'PartsData'!E6))),"")</f>
        <v>Winy</v>
      </c>
      <c r="K6">
        <f ca="1">IF(J6="","",COUNTIF(ListPembeli,"&lt;="&amp;$J6))</f>
        <v>14</v>
      </c>
      <c r="L6" t="str">
        <f ca="1">IF(K6="","",INDEX(ListPembeli,MATCH(ROWS($K$2:$K6),$K$2:$K$101,0)))</f>
        <v>Ineu Widaningsih</v>
      </c>
      <c r="N6" s="77" t="str">
        <f t="array" aca="1" ref="N6" ca="1">IFERROR(INDEX(DaftarPembeli,SMALL(IF(OrderIDList=$M$2,ROW(DaftarPembeli)-ROW(PartsData!E$2)+1),ROWS(PartsData!E$2:'PartsData'!E6))),"")</f>
        <v>Winy</v>
      </c>
      <c r="O6">
        <f ca="1">IF(N6="","",COUNTIF(ListCariPembeli,"&lt;="&amp;$N6))</f>
        <v>14</v>
      </c>
      <c r="P6" t="str">
        <f ca="1">IF(O6="","",INDEX(ListCariPembeli,MATCH(ROWS($O$2:$O6),$O$2:$O$201,0)))</f>
        <v>Ineu Widaningsih</v>
      </c>
      <c r="T6" s="77" t="str">
        <f t="array" aca="1" ref="T6" ca="1">IFERROR(INDEX(DaftarPembeli,SMALL(IF(OrderIDList=$S$2,ROW(DaftarPembeli)-ROW(PartsData!E$2)+1),ROWS(PartsData!E$2:'PartsData'!E6))),"")</f>
        <v/>
      </c>
      <c r="U6" s="77" t="str">
        <f ca="1">IF(T6="","",COUNTIF(ListNamaPembeli,"&lt;="&amp;$T6))</f>
        <v/>
      </c>
      <c r="V6" s="77" t="str">
        <f ca="1">IF(U6="","",INDEX(ListNamaPembeli,MATCH(ROWS($U$2:$U6),$U$2:$U$201,0)))</f>
        <v/>
      </c>
      <c r="Y6" s="77" t="str">
        <f t="array" aca="1" ref="Y6" ca="1">IFERROR(INDEX(RekapPembeli,SMALL(IF(RekapKontak=$X$2,ROW(RekapPembeli)-ROW(DataPemesanan!F$2)+1),ROWS(DataPemesanan!F$2:'DataPemesanan'!F6))),"")</f>
        <v/>
      </c>
      <c r="Z6" s="77" t="str">
        <f ca="1">IF(Y6="","",COUNTIF(DataRekapPembeli,"&lt;="&amp;$Y6))</f>
        <v/>
      </c>
      <c r="AA6" s="77" t="str">
        <f ca="1">IF(Z6="","",INDEX(DataRekapPembeli,MATCH(ROWS($Z$2:$Z6),$Z$2:$Z$201,0)))</f>
        <v/>
      </c>
    </row>
    <row r="7" spans="1:27" ht="18" customHeight="1">
      <c r="A7" s="16"/>
      <c r="B7" s="17"/>
      <c r="J7" t="str">
        <f t="array" aca="1" ref="J7" ca="1">IFERROR(INDEX(DaftarPembeli,SMALL(IF(OrderIDList=$I$2,ROW(DaftarPembeli)-ROW(PartsData!E$2)+1),ROWS(PartsData!E$2:'PartsData'!E7))),"")</f>
        <v>Juju Sukmana</v>
      </c>
      <c r="K7">
        <f ca="1">IF(J7="","",COUNTIF(ListPembeli,"&lt;="&amp;$J7))</f>
        <v>6</v>
      </c>
      <c r="L7" t="str">
        <f ca="1">IF(K7="","",INDEX(ListPembeli,MATCH(ROWS($K$2:$K7),$K$2:$K$101,0)))</f>
        <v>Juju Sukmana</v>
      </c>
      <c r="N7" s="77" t="str">
        <f t="array" aca="1" ref="N7" ca="1">IFERROR(INDEX(DaftarPembeli,SMALL(IF(OrderIDList=$M$2,ROW(DaftarPembeli)-ROW(PartsData!E$2)+1),ROWS(PartsData!E$2:'PartsData'!E7))),"")</f>
        <v>Juju Sukmana</v>
      </c>
      <c r="O7">
        <f ca="1">IF(N7="","",COUNTIF(ListCariPembeli,"&lt;="&amp;$N7))</f>
        <v>6</v>
      </c>
      <c r="P7" t="str">
        <f ca="1">IF(O7="","",INDEX(ListCariPembeli,MATCH(ROWS($O$2:$O7),$O$2:$O$201,0)))</f>
        <v>Juju Sukmana</v>
      </c>
      <c r="T7" s="77" t="str">
        <f t="array" aca="1" ref="T7" ca="1">IFERROR(INDEX(DaftarPembeli,SMALL(IF(OrderIDList=$S$2,ROW(DaftarPembeli)-ROW(PartsData!E$2)+1),ROWS(PartsData!E$2:'PartsData'!E7))),"")</f>
        <v/>
      </c>
      <c r="U7" s="77" t="str">
        <f ca="1">IF(T7="","",COUNTIF(ListNamaPembeli,"&lt;="&amp;$T7))</f>
        <v/>
      </c>
      <c r="V7" s="77" t="str">
        <f ca="1">IF(U7="","",INDEX(ListNamaPembeli,MATCH(ROWS($U$2:$U7),$U$2:$U$201,0)))</f>
        <v/>
      </c>
      <c r="Y7" s="77" t="str">
        <f t="array" aca="1" ref="Y7" ca="1">IFERROR(INDEX(RekapPembeli,SMALL(IF(RekapKontak=$X$2,ROW(RekapPembeli)-ROW(DataPemesanan!F$2)+1),ROWS(DataPemesanan!F$2:'DataPemesanan'!F7))),"")</f>
        <v/>
      </c>
      <c r="Z7" s="77" t="str">
        <f ca="1">IF(Y7="","",COUNTIF(DataRekapPembeli,"&lt;="&amp;$Y7))</f>
        <v/>
      </c>
      <c r="AA7" s="77" t="str">
        <f ca="1">IF(Z7="","",INDEX(DataRekapPembeli,MATCH(ROWS($Z$2:$Z7),$Z$2:$Z$201,0)))</f>
        <v/>
      </c>
    </row>
    <row r="8" spans="1:27" ht="18" customHeight="1">
      <c r="C8" s="11"/>
      <c r="J8" t="str">
        <f t="array" aca="1" ref="J8" ca="1">IFERROR(INDEX(DaftarPembeli,SMALL(IF(OrderIDList=$I$2,ROW(DaftarPembeli)-ROW(PartsData!E$2)+1),ROWS(PartsData!E$2:'PartsData'!E8))),"")</f>
        <v>Hesti</v>
      </c>
      <c r="K8">
        <f ca="1">IF(J8="","",COUNTIF(ListPembeli,"&lt;="&amp;$J8))</f>
        <v>3</v>
      </c>
      <c r="L8" t="str">
        <f ca="1">IF(K8="","",INDEX(ListPembeli,MATCH(ROWS($K$2:$K8),$K$2:$K$101,0)))</f>
        <v>Lia</v>
      </c>
      <c r="N8" s="77" t="str">
        <f t="array" aca="1" ref="N8" ca="1">IFERROR(INDEX(DaftarPembeli,SMALL(IF(OrderIDList=$M$2,ROW(DaftarPembeli)-ROW(PartsData!E$2)+1),ROWS(PartsData!E$2:'PartsData'!E8))),"")</f>
        <v>Hesti</v>
      </c>
      <c r="O8">
        <f ca="1">IF(N8="","",COUNTIF(ListCariPembeli,"&lt;="&amp;$N8))</f>
        <v>3</v>
      </c>
      <c r="P8" t="str">
        <f ca="1">IF(O8="","",INDEX(ListCariPembeli,MATCH(ROWS($O$2:$O8),$O$2:$O$201,0)))</f>
        <v>Lia</v>
      </c>
      <c r="T8" s="77" t="str">
        <f t="array" aca="1" ref="T8" ca="1">IFERROR(INDEX(DaftarPembeli,SMALL(IF(OrderIDList=$S$2,ROW(DaftarPembeli)-ROW(PartsData!E$2)+1),ROWS(PartsData!E$2:'PartsData'!E8))),"")</f>
        <v/>
      </c>
      <c r="U8" s="77" t="str">
        <f ca="1">IF(T8="","",COUNTIF(ListNamaPembeli,"&lt;="&amp;$T8))</f>
        <v/>
      </c>
      <c r="V8" s="77" t="str">
        <f ca="1">IF(U8="","",INDEX(ListNamaPembeli,MATCH(ROWS($U$2:$U8),$U$2:$U$201,0)))</f>
        <v/>
      </c>
      <c r="Y8" s="77" t="str">
        <f t="array" aca="1" ref="Y8" ca="1">IFERROR(INDEX(RekapPembeli,SMALL(IF(RekapKontak=$X$2,ROW(RekapPembeli)-ROW(DataPemesanan!F$2)+1),ROWS(DataPemesanan!F$2:'DataPemesanan'!F8))),"")</f>
        <v/>
      </c>
      <c r="Z8" s="77" t="str">
        <f ca="1">IF(Y8="","",COUNTIF(DataRekapPembeli,"&lt;="&amp;$Y8))</f>
        <v/>
      </c>
      <c r="AA8" s="77" t="str">
        <f ca="1">IF(Z8="","",INDEX(DataRekapPembeli,MATCH(ROWS($Z$2:$Z8),$Z$2:$Z$201,0)))</f>
        <v/>
      </c>
    </row>
    <row r="9" spans="1:27" ht="18" customHeight="1">
      <c r="C9" s="12"/>
      <c r="J9" t="str">
        <f t="array" aca="1" ref="J9" ca="1">IFERROR(INDEX(DaftarPembeli,SMALL(IF(OrderIDList=$I$2,ROW(DaftarPembeli)-ROW(PartsData!E$2)+1),ROWS(PartsData!E$2:'PartsData'!E9))),"")</f>
        <v>Ineu Widaningsih</v>
      </c>
      <c r="K9">
        <f ca="1">IF(J9="","",COUNTIF(ListPembeli,"&lt;="&amp;$J9))</f>
        <v>5</v>
      </c>
      <c r="L9" t="str">
        <f ca="1">IF(K9="","",INDEX(ListPembeli,MATCH(ROWS($K$2:$K9),$K$2:$K$101,0)))</f>
        <v>Lia Barra</v>
      </c>
      <c r="N9" s="77" t="str">
        <f t="array" aca="1" ref="N9" ca="1">IFERROR(INDEX(DaftarPembeli,SMALL(IF(OrderIDList=$M$2,ROW(DaftarPembeli)-ROW(PartsData!E$2)+1),ROWS(PartsData!E$2:'PartsData'!E9))),"")</f>
        <v>Ineu Widaningsih</v>
      </c>
      <c r="O9">
        <f ca="1">IF(N9="","",COUNTIF(ListCariPembeli,"&lt;="&amp;$N9))</f>
        <v>5</v>
      </c>
      <c r="P9" t="str">
        <f ca="1">IF(O9="","",INDEX(ListCariPembeli,MATCH(ROWS($O$2:$O9),$O$2:$O$201,0)))</f>
        <v>Lia Barra</v>
      </c>
      <c r="T9" s="77" t="str">
        <f t="array" aca="1" ref="T9" ca="1">IFERROR(INDEX(DaftarPembeli,SMALL(IF(OrderIDList=$S$2,ROW(DaftarPembeli)-ROW(PartsData!E$2)+1),ROWS(PartsData!E$2:'PartsData'!E9))),"")</f>
        <v/>
      </c>
      <c r="U9" s="77" t="str">
        <f ca="1">IF(T9="","",COUNTIF(ListNamaPembeli,"&lt;="&amp;$T9))</f>
        <v/>
      </c>
      <c r="V9" s="77" t="str">
        <f ca="1">IF(U9="","",INDEX(ListNamaPembeli,MATCH(ROWS($U$2:$U9),$U$2:$U$201,0)))</f>
        <v/>
      </c>
      <c r="Y9" s="77" t="str">
        <f t="array" aca="1" ref="Y9" ca="1">IFERROR(INDEX(RekapPembeli,SMALL(IF(RekapKontak=$X$2,ROW(RekapPembeli)-ROW(DataPemesanan!F$2)+1),ROWS(DataPemesanan!F$2:'DataPemesanan'!F9))),"")</f>
        <v/>
      </c>
      <c r="Z9" s="77" t="str">
        <f ca="1">IF(Y9="","",COUNTIF(DataRekapPembeli,"&lt;="&amp;$Y9))</f>
        <v/>
      </c>
      <c r="AA9" s="77" t="str">
        <f ca="1">IF(Z9="","",INDEX(DataRekapPembeli,MATCH(ROWS($Z$2:$Z9),$Z$2:$Z$201,0)))</f>
        <v/>
      </c>
    </row>
    <row r="10" spans="1:27" ht="18" customHeight="1">
      <c r="J10" t="str">
        <f t="array" aca="1" ref="J10" ca="1">IFERROR(INDEX(DaftarPembeli,SMALL(IF(OrderIDList=$I$2,ROW(DaftarPembeli)-ROW(PartsData!E$2)+1),ROWS(PartsData!E$2:'PartsData'!E10))),"")</f>
        <v>Tria Barmawi</v>
      </c>
      <c r="K10">
        <f ca="1">IF(J10="","",COUNTIF(ListPembeli,"&lt;="&amp;$J10))</f>
        <v>13</v>
      </c>
      <c r="L10" t="str">
        <f ca="1">IF(K10="","",INDEX(ListPembeli,MATCH(ROWS($K$2:$K10),$K$2:$K$101,0)))</f>
        <v>Praya Arie Indrayana</v>
      </c>
      <c r="N10" s="77" t="str">
        <f t="array" aca="1" ref="N10" ca="1">IFERROR(INDEX(DaftarPembeli,SMALL(IF(OrderIDList=$M$2,ROW(DaftarPembeli)-ROW(PartsData!E$2)+1),ROWS(PartsData!E$2:'PartsData'!E10))),"")</f>
        <v>Tria Barmawi</v>
      </c>
      <c r="O10">
        <f ca="1">IF(N10="","",COUNTIF(ListCariPembeli,"&lt;="&amp;$N10))</f>
        <v>13</v>
      </c>
      <c r="P10" t="str">
        <f ca="1">IF(O10="","",INDEX(ListCariPembeli,MATCH(ROWS($O$2:$O10),$O$2:$O$201,0)))</f>
        <v>Praya Arie Indrayana</v>
      </c>
      <c r="T10" s="77" t="str">
        <f t="array" aca="1" ref="T10" ca="1">IFERROR(INDEX(DaftarPembeli,SMALL(IF(OrderIDList=$S$2,ROW(DaftarPembeli)-ROW(PartsData!E$2)+1),ROWS(PartsData!E$2:'PartsData'!E10))),"")</f>
        <v/>
      </c>
      <c r="U10" s="77" t="str">
        <f ca="1">IF(T10="","",COUNTIF(ListNamaPembeli,"&lt;="&amp;$T10))</f>
        <v/>
      </c>
      <c r="V10" s="77" t="str">
        <f ca="1">IF(U10="","",INDEX(ListNamaPembeli,MATCH(ROWS($U$2:$U10),$U$2:$U$201,0)))</f>
        <v/>
      </c>
      <c r="Y10" s="77" t="str">
        <f t="array" aca="1" ref="Y10" ca="1">IFERROR(INDEX(RekapPembeli,SMALL(IF(RekapKontak=$X$2,ROW(RekapPembeli)-ROW(DataPemesanan!F$2)+1),ROWS(DataPemesanan!F$2:'DataPemesanan'!F10))),"")</f>
        <v/>
      </c>
      <c r="Z10" s="77" t="str">
        <f ca="1">IF(Y10="","",COUNTIF(DataRekapPembeli,"&lt;="&amp;$Y10))</f>
        <v/>
      </c>
      <c r="AA10" s="77" t="str">
        <f ca="1">IF(Z10="","",INDEX(DataRekapPembeli,MATCH(ROWS($Z$2:$Z10),$Z$2:$Z$201,0)))</f>
        <v/>
      </c>
    </row>
    <row r="11" spans="1:27" ht="18" customHeight="1">
      <c r="B11" s="20"/>
      <c r="C11" s="11"/>
      <c r="J11" t="str">
        <f t="array" aca="1" ref="J11" ca="1">IFERROR(INDEX(DaftarPembeli,SMALL(IF(OrderIDList=$I$2,ROW(DaftarPembeli)-ROW(PartsData!E$2)+1),ROWS(PartsData!E$2:'PartsData'!E11))),"")</f>
        <v>Lia</v>
      </c>
      <c r="K11">
        <f ca="1">IF(J11="","",COUNTIF(ListPembeli,"&lt;="&amp;$J11))</f>
        <v>7</v>
      </c>
      <c r="L11" t="str">
        <f ca="1">IF(K11="","",INDEX(ListPembeli,MATCH(ROWS($K$2:$K11),$K$2:$K$101,0)))</f>
        <v>Rini T</v>
      </c>
      <c r="N11" s="77" t="str">
        <f t="array" aca="1" ref="N11" ca="1">IFERROR(INDEX(DaftarPembeli,SMALL(IF(OrderIDList=$M$2,ROW(DaftarPembeli)-ROW(PartsData!E$2)+1),ROWS(PartsData!E$2:'PartsData'!E11))),"")</f>
        <v>Lia</v>
      </c>
      <c r="O11">
        <f ca="1">IF(N11="","",COUNTIF(ListCariPembeli,"&lt;="&amp;$N11))</f>
        <v>7</v>
      </c>
      <c r="P11" t="str">
        <f ca="1">IF(O11="","",INDEX(ListCariPembeli,MATCH(ROWS($O$2:$O11),$O$2:$O$201,0)))</f>
        <v>Rini T</v>
      </c>
      <c r="T11" s="77" t="str">
        <f t="array" aca="1" ref="T11" ca="1">IFERROR(INDEX(DaftarPembeli,SMALL(IF(OrderIDList=$S$2,ROW(DaftarPembeli)-ROW(PartsData!E$2)+1),ROWS(PartsData!E$2:'PartsData'!E11))),"")</f>
        <v/>
      </c>
      <c r="U11" s="77" t="str">
        <f ca="1">IF(T11="","",COUNTIF(ListNamaPembeli,"&lt;="&amp;$T11))</f>
        <v/>
      </c>
      <c r="V11" s="77" t="str">
        <f ca="1">IF(U11="","",INDEX(ListNamaPembeli,MATCH(ROWS($U$2:$U11),$U$2:$U$201,0)))</f>
        <v/>
      </c>
      <c r="Y11" s="77" t="str">
        <f t="array" aca="1" ref="Y11" ca="1">IFERROR(INDEX(RekapPembeli,SMALL(IF(RekapKontak=$X$2,ROW(RekapPembeli)-ROW(DataPemesanan!F$2)+1),ROWS(DataPemesanan!F$2:'DataPemesanan'!F11))),"")</f>
        <v/>
      </c>
      <c r="Z11" s="77" t="str">
        <f ca="1">IF(Y11="","",COUNTIF(DataRekapPembeli,"&lt;="&amp;$Y11))</f>
        <v/>
      </c>
      <c r="AA11" s="77" t="str">
        <f ca="1">IF(Z11="","",INDEX(DataRekapPembeli,MATCH(ROWS($Z$2:$Z11),$Z$2:$Z$201,0)))</f>
        <v/>
      </c>
    </row>
    <row r="12" spans="1:27" ht="18" customHeight="1">
      <c r="C12" s="11"/>
      <c r="J12" t="str">
        <f t="array" aca="1" ref="J12" ca="1">IFERROR(INDEX(DaftarPembeli,SMALL(IF(OrderIDList=$I$2,ROW(DaftarPembeli)-ROW(PartsData!E$2)+1),ROWS(PartsData!E$2:'PartsData'!E12))),"")</f>
        <v>Srie Mulyasari</v>
      </c>
      <c r="K12">
        <f ca="1">IF(J12="","",COUNTIF(ListPembeli,"&lt;="&amp;$J12))</f>
        <v>11</v>
      </c>
      <c r="L12" t="str">
        <f ca="1">IF(K12="","",INDEX(ListPembeli,MATCH(ROWS($K$2:$K12),$K$2:$K$101,0)))</f>
        <v>Srie Mulyasari</v>
      </c>
      <c r="N12" s="77" t="str">
        <f t="array" aca="1" ref="N12" ca="1">IFERROR(INDEX(DaftarPembeli,SMALL(IF(OrderIDList=$M$2,ROW(DaftarPembeli)-ROW(PartsData!E$2)+1),ROWS(PartsData!E$2:'PartsData'!E12))),"")</f>
        <v>Srie Mulyasari</v>
      </c>
      <c r="O12">
        <f ca="1">IF(N12="","",COUNTIF(ListCariPembeli,"&lt;="&amp;$N12))</f>
        <v>11</v>
      </c>
      <c r="P12" t="str">
        <f ca="1">IF(O12="","",INDEX(ListCariPembeli,MATCH(ROWS($O$2:$O12),$O$2:$O$201,0)))</f>
        <v>Srie Mulyasari</v>
      </c>
      <c r="T12" s="77" t="str">
        <f t="array" aca="1" ref="T12" ca="1">IFERROR(INDEX(DaftarPembeli,SMALL(IF(OrderIDList=$S$2,ROW(DaftarPembeli)-ROW(PartsData!E$2)+1),ROWS(PartsData!E$2:'PartsData'!E12))),"")</f>
        <v/>
      </c>
      <c r="U12" s="77" t="str">
        <f ca="1">IF(T12="","",COUNTIF(ListNamaPembeli,"&lt;="&amp;$T12))</f>
        <v/>
      </c>
      <c r="V12" s="77" t="str">
        <f ca="1">IF(U12="","",INDEX(ListNamaPembeli,MATCH(ROWS($U$2:$U12),$U$2:$U$201,0)))</f>
        <v/>
      </c>
      <c r="Y12" s="77" t="str">
        <f t="array" aca="1" ref="Y12" ca="1">IFERROR(INDEX(RekapPembeli,SMALL(IF(RekapKontak=$X$2,ROW(RekapPembeli)-ROW(DataPemesanan!F$2)+1),ROWS(DataPemesanan!F$2:'DataPemesanan'!F12))),"")</f>
        <v/>
      </c>
      <c r="Z12" s="77" t="str">
        <f ca="1">IF(Y12="","",COUNTIF(DataRekapPembeli,"&lt;="&amp;$Y12))</f>
        <v/>
      </c>
      <c r="AA12" s="77" t="str">
        <f ca="1">IF(Z12="","",INDEX(DataRekapPembeli,MATCH(ROWS($Z$2:$Z12),$Z$2:$Z$201,0)))</f>
        <v/>
      </c>
    </row>
    <row r="13" spans="1:27" ht="18" customHeight="1">
      <c r="C13" s="11"/>
      <c r="J13" t="str">
        <f t="array" aca="1" ref="J13" ca="1">IFERROR(INDEX(DaftarPembeli,SMALL(IF(OrderIDList=$I$2,ROW(DaftarPembeli)-ROW(PartsData!E$2)+1),ROWS(PartsData!E$2:'PartsData'!E13))),"")</f>
        <v>Tita</v>
      </c>
      <c r="K13">
        <f ca="1">IF(J13="","",COUNTIF(ListPembeli,"&lt;="&amp;$J13))</f>
        <v>12</v>
      </c>
      <c r="L13" t="str">
        <f ca="1">IF(K13="","",INDEX(ListPembeli,MATCH(ROWS($K$2:$K13),$K$2:$K$101,0)))</f>
        <v>Tita</v>
      </c>
      <c r="N13" s="77" t="str">
        <f t="array" aca="1" ref="N13" ca="1">IFERROR(INDEX(DaftarPembeli,SMALL(IF(OrderIDList=$M$2,ROW(DaftarPembeli)-ROW(PartsData!E$2)+1),ROWS(PartsData!E$2:'PartsData'!E13))),"")</f>
        <v>Tita</v>
      </c>
      <c r="O13">
        <f ca="1">IF(N13="","",COUNTIF(ListCariPembeli,"&lt;="&amp;$N13))</f>
        <v>12</v>
      </c>
      <c r="P13" t="str">
        <f ca="1">IF(O13="","",INDEX(ListCariPembeli,MATCH(ROWS($O$2:$O13),$O$2:$O$201,0)))</f>
        <v>Tita</v>
      </c>
      <c r="T13" s="77" t="str">
        <f t="array" aca="1" ref="T13" ca="1">IFERROR(INDEX(DaftarPembeli,SMALL(IF(OrderIDList=$S$2,ROW(DaftarPembeli)-ROW(PartsData!E$2)+1),ROWS(PartsData!E$2:'PartsData'!E13))),"")</f>
        <v/>
      </c>
      <c r="U13" s="77" t="str">
        <f ca="1">IF(T13="","",COUNTIF(ListNamaPembeli,"&lt;="&amp;$T13))</f>
        <v/>
      </c>
      <c r="V13" s="77" t="str">
        <f ca="1">IF(U13="","",INDEX(ListNamaPembeli,MATCH(ROWS($U$2:$U13),$U$2:$U$201,0)))</f>
        <v/>
      </c>
      <c r="Y13" s="77" t="str">
        <f t="array" aca="1" ref="Y13" ca="1">IFERROR(INDEX(RekapPembeli,SMALL(IF(RekapKontak=$X$2,ROW(RekapPembeli)-ROW(DataPemesanan!F$2)+1),ROWS(DataPemesanan!F$2:'DataPemesanan'!F13))),"")</f>
        <v/>
      </c>
      <c r="Z13" s="77" t="str">
        <f ca="1">IF(Y13="","",COUNTIF(DataRekapPembeli,"&lt;="&amp;$Y13))</f>
        <v/>
      </c>
      <c r="AA13" s="77" t="str">
        <f ca="1">IF(Z13="","",INDEX(DataRekapPembeli,MATCH(ROWS($Z$2:$Z13),$Z$2:$Z$201,0)))</f>
        <v/>
      </c>
    </row>
    <row r="14" spans="1:27" ht="18" customHeight="1">
      <c r="C14" s="11"/>
      <c r="J14" t="str">
        <f t="array" aca="1" ref="J14" ca="1">IFERROR(INDEX(DaftarPembeli,SMALL(IF(OrderIDList=$I$2,ROW(DaftarPembeli)-ROW(PartsData!E$2)+1),ROWS(PartsData!E$2:'PartsData'!E14))),"")</f>
        <v>Ahmad Baiquni</v>
      </c>
      <c r="K14">
        <f ca="1">IF(J14="","",COUNTIF(ListPembeli,"&lt;="&amp;$J14))</f>
        <v>1</v>
      </c>
      <c r="L14" t="str">
        <f ca="1">IF(K14="","",INDEX(ListPembeli,MATCH(ROWS($K$2:$K14),$K$2:$K$101,0)))</f>
        <v>Tria Barmawi</v>
      </c>
      <c r="N14" s="77" t="str">
        <f t="array" aca="1" ref="N14" ca="1">IFERROR(INDEX(DaftarPembeli,SMALL(IF(OrderIDList=$M$2,ROW(DaftarPembeli)-ROW(PartsData!E$2)+1),ROWS(PartsData!E$2:'PartsData'!E14))),"")</f>
        <v>Ahmad Baiquni</v>
      </c>
      <c r="O14">
        <f ca="1">IF(N14="","",COUNTIF(ListCariPembeli,"&lt;="&amp;$N14))</f>
        <v>1</v>
      </c>
      <c r="P14" t="str">
        <f ca="1">IF(O14="","",INDEX(ListCariPembeli,MATCH(ROWS($O$2:$O14),$O$2:$O$201,0)))</f>
        <v>Tria Barmawi</v>
      </c>
      <c r="T14" s="77" t="str">
        <f t="array" aca="1" ref="T14" ca="1">IFERROR(INDEX(DaftarPembeli,SMALL(IF(OrderIDList=$S$2,ROW(DaftarPembeli)-ROW(PartsData!E$2)+1),ROWS(PartsData!E$2:'PartsData'!E14))),"")</f>
        <v/>
      </c>
      <c r="U14" s="77" t="str">
        <f ca="1">IF(T14="","",COUNTIF(ListNamaPembeli,"&lt;="&amp;$T14))</f>
        <v/>
      </c>
      <c r="V14" s="77" t="str">
        <f ca="1">IF(U14="","",INDEX(ListNamaPembeli,MATCH(ROWS($U$2:$U14),$U$2:$U$201,0)))</f>
        <v/>
      </c>
      <c r="Y14" s="77" t="str">
        <f t="array" aca="1" ref="Y14" ca="1">IFERROR(INDEX(RekapPembeli,SMALL(IF(RekapKontak=$X$2,ROW(RekapPembeli)-ROW(DataPemesanan!F$2)+1),ROWS(DataPemesanan!F$2:'DataPemesanan'!F14))),"")</f>
        <v/>
      </c>
      <c r="Z14" s="77" t="str">
        <f ca="1">IF(Y14="","",COUNTIF(DataRekapPembeli,"&lt;="&amp;$Y14))</f>
        <v/>
      </c>
      <c r="AA14" s="77" t="str">
        <f ca="1">IF(Z14="","",INDEX(DataRekapPembeli,MATCH(ROWS($Z$2:$Z14),$Z$2:$Z$201,0)))</f>
        <v/>
      </c>
    </row>
    <row r="15" spans="1:27" ht="18" customHeight="1">
      <c r="J15" t="str">
        <f t="array" aca="1" ref="J15" ca="1">IFERROR(INDEX(DaftarPembeli,SMALL(IF(OrderIDList=$I$2,ROW(DaftarPembeli)-ROW(PartsData!E$2)+1),ROWS(PartsData!E$2:'PartsData'!E15))),"")</f>
        <v>Lia Barra</v>
      </c>
      <c r="K15">
        <f ca="1">IF(J15="","",COUNTIF(ListPembeli,"&lt;="&amp;$J15))</f>
        <v>8</v>
      </c>
      <c r="L15" t="str">
        <f ca="1">IF(K15="","",INDEX(ListPembeli,MATCH(ROWS($K$2:$K15),$K$2:$K$101,0)))</f>
        <v>Winy</v>
      </c>
      <c r="N15" s="77" t="str">
        <f t="array" aca="1" ref="N15" ca="1">IFERROR(INDEX(DaftarPembeli,SMALL(IF(OrderIDList=$M$2,ROW(DaftarPembeli)-ROW(PartsData!E$2)+1),ROWS(PartsData!E$2:'PartsData'!E15))),"")</f>
        <v>Lia Barra</v>
      </c>
      <c r="O15">
        <f ca="1">IF(N15="","",COUNTIF(ListCariPembeli,"&lt;="&amp;$N15))</f>
        <v>8</v>
      </c>
      <c r="P15" t="str">
        <f ca="1">IF(O15="","",INDEX(ListCariPembeli,MATCH(ROWS($O$2:$O15),$O$2:$O$201,0)))</f>
        <v>Winy</v>
      </c>
      <c r="T15" s="77" t="str">
        <f t="array" aca="1" ref="T15" ca="1">IFERROR(INDEX(DaftarPembeli,SMALL(IF(OrderIDList=$S$2,ROW(DaftarPembeli)-ROW(PartsData!E$2)+1),ROWS(PartsData!E$2:'PartsData'!E15))),"")</f>
        <v/>
      </c>
      <c r="U15" s="77" t="str">
        <f ca="1">IF(T15="","",COUNTIF(ListNamaPembeli,"&lt;="&amp;$T15))</f>
        <v/>
      </c>
      <c r="V15" s="77" t="str">
        <f ca="1">IF(U15="","",INDEX(ListNamaPembeli,MATCH(ROWS($U$2:$U15),$U$2:$U$201,0)))</f>
        <v/>
      </c>
      <c r="Y15" s="77" t="str">
        <f t="array" aca="1" ref="Y15" ca="1">IFERROR(INDEX(RekapPembeli,SMALL(IF(RekapKontak=$X$2,ROW(RekapPembeli)-ROW(DataPemesanan!F$2)+1),ROWS(DataPemesanan!F$2:'DataPemesanan'!F15))),"")</f>
        <v/>
      </c>
      <c r="Z15" s="77" t="str">
        <f ca="1">IF(Y15="","",COUNTIF(DataRekapPembeli,"&lt;="&amp;$Y15))</f>
        <v/>
      </c>
      <c r="AA15" s="77" t="str">
        <f ca="1">IF(Z15="","",INDEX(DataRekapPembeli,MATCH(ROWS($Z$2:$Z15),$Z$2:$Z$201,0)))</f>
        <v/>
      </c>
    </row>
    <row r="16" spans="1:27" ht="18" customHeight="1">
      <c r="B16" s="20"/>
      <c r="J16" t="str">
        <f t="array" aca="1" ref="J16" ca="1">IFERROR(INDEX(DaftarPembeli,SMALL(IF(OrderIDList=$I$2,ROW(DaftarPembeli)-ROW(PartsData!E$2)+1),ROWS(PartsData!E$2:'PartsData'!E16))),"")</f>
        <v/>
      </c>
      <c r="K16" t="str">
        <f ca="1">IF(J16="","",COUNTIF(ListPembeli,"&lt;="&amp;$J16))</f>
        <v/>
      </c>
      <c r="L16" t="str">
        <f ca="1">IF(K16="","",INDEX(ListPembeli,MATCH(ROWS($K$2:$K16),$K$2:$K$101,0)))</f>
        <v/>
      </c>
      <c r="N16" s="77" t="str">
        <f t="array" aca="1" ref="N16" ca="1">IFERROR(INDEX(DaftarPembeli,SMALL(IF(OrderIDList=$M$2,ROW(DaftarPembeli)-ROW(PartsData!E$2)+1),ROWS(PartsData!E$2:'PartsData'!E16))),"")</f>
        <v/>
      </c>
      <c r="O16" t="str">
        <f ca="1">IF(N16="","",COUNTIF(ListCariPembeli,"&lt;="&amp;$N16))</f>
        <v/>
      </c>
      <c r="P16" t="str">
        <f ca="1">IF(O16="","",INDEX(ListCariPembeli,MATCH(ROWS($O$2:$O16),$O$2:$O$201,0)))</f>
        <v/>
      </c>
      <c r="T16" s="77" t="str">
        <f t="array" aca="1" ref="T16" ca="1">IFERROR(INDEX(DaftarPembeli,SMALL(IF(OrderIDList=$S$2,ROW(DaftarPembeli)-ROW(PartsData!E$2)+1),ROWS(PartsData!E$2:'PartsData'!E16))),"")</f>
        <v/>
      </c>
      <c r="U16" s="77" t="str">
        <f ca="1">IF(T16="","",COUNTIF(ListNamaPembeli,"&lt;="&amp;$T16))</f>
        <v/>
      </c>
      <c r="V16" s="77" t="str">
        <f ca="1">IF(U16="","",INDEX(ListNamaPembeli,MATCH(ROWS($U$2:$U16),$U$2:$U$201,0)))</f>
        <v/>
      </c>
      <c r="Y16" s="77" t="str">
        <f t="array" aca="1" ref="Y16" ca="1">IFERROR(INDEX(RekapPembeli,SMALL(IF(RekapKontak=$X$2,ROW(RekapPembeli)-ROW(DataPemesanan!F$2)+1),ROWS(DataPemesanan!F$2:'DataPemesanan'!F16))),"")</f>
        <v/>
      </c>
      <c r="Z16" s="77" t="str">
        <f ca="1">IF(Y16="","",COUNTIF(DataRekapPembeli,"&lt;="&amp;$Y16))</f>
        <v/>
      </c>
      <c r="AA16" s="77" t="str">
        <f ca="1">IF(Z16="","",INDEX(DataRekapPembeli,MATCH(ROWS($Z$2:$Z16),$Z$2:$Z$201,0)))</f>
        <v/>
      </c>
    </row>
    <row r="17" spans="2:27" ht="18" customHeight="1">
      <c r="C17" s="11"/>
      <c r="E17" s="10"/>
      <c r="J17" t="str">
        <f t="array" aca="1" ref="J17" ca="1">IFERROR(INDEX(DaftarPembeli,SMALL(IF(OrderIDList=$I$2,ROW(DaftarPembeli)-ROW(PartsData!E$2)+1),ROWS(PartsData!E$2:'PartsData'!E17))),"")</f>
        <v/>
      </c>
      <c r="K17" t="str">
        <f ca="1">IF(J17="","",COUNTIF(ListPembeli,"&lt;="&amp;$J17))</f>
        <v/>
      </c>
      <c r="L17" t="str">
        <f ca="1">IF(K17="","",INDEX(ListPembeli,MATCH(ROWS($K$2:$K17),$K$2:$K$101,0)))</f>
        <v/>
      </c>
      <c r="N17" s="77" t="str">
        <f t="array" aca="1" ref="N17" ca="1">IFERROR(INDEX(DaftarPembeli,SMALL(IF(OrderIDList=$M$2,ROW(DaftarPembeli)-ROW(PartsData!E$2)+1),ROWS(PartsData!E$2:'PartsData'!E17))),"")</f>
        <v/>
      </c>
      <c r="O17" t="str">
        <f ca="1">IF(N17="","",COUNTIF(ListCariPembeli,"&lt;="&amp;$N17))</f>
        <v/>
      </c>
      <c r="P17" t="str">
        <f ca="1">IF(O17="","",INDEX(ListCariPembeli,MATCH(ROWS($O$2:$O17),$O$2:$O$201,0)))</f>
        <v/>
      </c>
      <c r="T17" s="77" t="str">
        <f t="array" aca="1" ref="T17" ca="1">IFERROR(INDEX(DaftarPembeli,SMALL(IF(OrderIDList=$S$2,ROW(DaftarPembeli)-ROW(PartsData!E$2)+1),ROWS(PartsData!E$2:'PartsData'!E17))),"")</f>
        <v/>
      </c>
      <c r="U17" s="77" t="str">
        <f ca="1">IF(T17="","",COUNTIF(ListNamaPembeli,"&lt;="&amp;$T17))</f>
        <v/>
      </c>
      <c r="V17" s="77" t="str">
        <f ca="1">IF(U17="","",INDEX(ListNamaPembeli,MATCH(ROWS($U$2:$U17),$U$2:$U$201,0)))</f>
        <v/>
      </c>
      <c r="Y17" s="77" t="str">
        <f t="array" aca="1" ref="Y17" ca="1">IFERROR(INDEX(RekapPembeli,SMALL(IF(RekapKontak=$X$2,ROW(RekapPembeli)-ROW(DataPemesanan!F$2)+1),ROWS(DataPemesanan!F$2:'DataPemesanan'!F17))),"")</f>
        <v/>
      </c>
      <c r="Z17" s="77" t="str">
        <f ca="1">IF(Y17="","",COUNTIF(DataRekapPembeli,"&lt;="&amp;$Y17))</f>
        <v/>
      </c>
      <c r="AA17" s="77" t="str">
        <f ca="1">IF(Z17="","",INDEX(DataRekapPembeli,MATCH(ROWS($Z$2:$Z17),$Z$2:$Z$201,0)))</f>
        <v/>
      </c>
    </row>
    <row r="18" spans="2:27" ht="18" customHeight="1">
      <c r="C18" s="11"/>
      <c r="J18" t="str">
        <f t="array" aca="1" ref="J18" ca="1">IFERROR(INDEX(DaftarPembeli,SMALL(IF(OrderIDList=$I$2,ROW(DaftarPembeli)-ROW(PartsData!E$2)+1),ROWS(PartsData!E$2:'PartsData'!E18))),"")</f>
        <v/>
      </c>
      <c r="K18" t="str">
        <f ca="1">IF(J18="","",COUNTIF(ListPembeli,"&lt;="&amp;$J18))</f>
        <v/>
      </c>
      <c r="L18" t="str">
        <f ca="1">IF(K18="","",INDEX(ListPembeli,MATCH(ROWS($K$2:$K18),$K$2:$K$101,0)))</f>
        <v/>
      </c>
      <c r="N18" s="77" t="str">
        <f t="array" aca="1" ref="N18" ca="1">IFERROR(INDEX(DaftarPembeli,SMALL(IF(OrderIDList=$M$2,ROW(DaftarPembeli)-ROW(PartsData!E$2)+1),ROWS(PartsData!E$2:'PartsData'!E18))),"")</f>
        <v/>
      </c>
      <c r="O18" t="str">
        <f ca="1">IF(N18="","",COUNTIF(ListCariPembeli,"&lt;="&amp;$N18))</f>
        <v/>
      </c>
      <c r="P18" t="str">
        <f ca="1">IF(O18="","",INDEX(ListCariPembeli,MATCH(ROWS($O$2:$O18),$O$2:$O$201,0)))</f>
        <v/>
      </c>
      <c r="T18" s="77" t="str">
        <f t="array" aca="1" ref="T18" ca="1">IFERROR(INDEX(DaftarPembeli,SMALL(IF(OrderIDList=$S$2,ROW(DaftarPembeli)-ROW(PartsData!E$2)+1),ROWS(PartsData!E$2:'PartsData'!E18))),"")</f>
        <v/>
      </c>
      <c r="U18" s="77" t="str">
        <f ca="1">IF(T18="","",COUNTIF(ListNamaPembeli,"&lt;="&amp;$T18))</f>
        <v/>
      </c>
      <c r="V18" s="77" t="str">
        <f ca="1">IF(U18="","",INDEX(ListNamaPembeli,MATCH(ROWS($U$2:$U18),$U$2:$U$201,0)))</f>
        <v/>
      </c>
      <c r="Y18" s="77" t="str">
        <f t="array" aca="1" ref="Y18" ca="1">IFERROR(INDEX(RekapPembeli,SMALL(IF(RekapKontak=$X$2,ROW(RekapPembeli)-ROW(DataPemesanan!F$2)+1),ROWS(DataPemesanan!F$2:'DataPemesanan'!F18))),"")</f>
        <v/>
      </c>
      <c r="Z18" s="77" t="str">
        <f ca="1">IF(Y18="","",COUNTIF(DataRekapPembeli,"&lt;="&amp;$Y18))</f>
        <v/>
      </c>
      <c r="AA18" s="77" t="str">
        <f ca="1">IF(Z18="","",INDEX(DataRekapPembeli,MATCH(ROWS($Z$2:$Z18),$Z$2:$Z$201,0)))</f>
        <v/>
      </c>
    </row>
    <row r="19" spans="2:27" ht="18" customHeight="1">
      <c r="C19" s="11"/>
      <c r="J19" t="str">
        <f t="array" aca="1" ref="J19" ca="1">IFERROR(INDEX(DaftarPembeli,SMALL(IF(OrderIDList=$I$2,ROW(DaftarPembeli)-ROW(PartsData!E$2)+1),ROWS(PartsData!E$2:'PartsData'!E19))),"")</f>
        <v/>
      </c>
      <c r="K19" t="str">
        <f ca="1">IF(J19="","",COUNTIF(ListPembeli,"&lt;="&amp;$J19))</f>
        <v/>
      </c>
      <c r="L19" t="str">
        <f ca="1">IF(K19="","",INDEX(ListPembeli,MATCH(ROWS($K$2:$K19),$K$2:$K$101,0)))</f>
        <v/>
      </c>
      <c r="N19" s="77" t="str">
        <f t="array" aca="1" ref="N19" ca="1">IFERROR(INDEX(DaftarPembeli,SMALL(IF(OrderIDList=$M$2,ROW(DaftarPembeli)-ROW(PartsData!E$2)+1),ROWS(PartsData!E$2:'PartsData'!E19))),"")</f>
        <v/>
      </c>
      <c r="O19" t="str">
        <f ca="1">IF(N19="","",COUNTIF(ListCariPembeli,"&lt;="&amp;$N19))</f>
        <v/>
      </c>
      <c r="P19" t="str">
        <f ca="1">IF(O19="","",INDEX(ListCariPembeli,MATCH(ROWS($O$2:$O19),$O$2:$O$201,0)))</f>
        <v/>
      </c>
      <c r="T19" s="77" t="str">
        <f t="array" aca="1" ref="T19" ca="1">IFERROR(INDEX(DaftarPembeli,SMALL(IF(OrderIDList=$S$2,ROW(DaftarPembeli)-ROW(PartsData!E$2)+1),ROWS(PartsData!E$2:'PartsData'!E19))),"")</f>
        <v/>
      </c>
      <c r="U19" s="77" t="str">
        <f ca="1">IF(T19="","",COUNTIF(ListNamaPembeli,"&lt;="&amp;$T19))</f>
        <v/>
      </c>
      <c r="V19" s="77" t="str">
        <f ca="1">IF(U19="","",INDEX(ListNamaPembeli,MATCH(ROWS($U$2:$U19),$U$2:$U$201,0)))</f>
        <v/>
      </c>
      <c r="Y19" s="77" t="str">
        <f t="array" aca="1" ref="Y19" ca="1">IFERROR(INDEX(RekapPembeli,SMALL(IF(RekapKontak=$X$2,ROW(RekapPembeli)-ROW(DataPemesanan!F$2)+1),ROWS(DataPemesanan!F$2:'DataPemesanan'!F19))),"")</f>
        <v/>
      </c>
      <c r="Z19" s="77" t="str">
        <f ca="1">IF(Y19="","",COUNTIF(DataRekapPembeli,"&lt;="&amp;$Y19))</f>
        <v/>
      </c>
      <c r="AA19" s="77" t="str">
        <f ca="1">IF(Z19="","",INDEX(DataRekapPembeli,MATCH(ROWS($Z$2:$Z19),$Z$2:$Z$201,0)))</f>
        <v/>
      </c>
    </row>
    <row r="20" spans="2:27" ht="18" customHeight="1">
      <c r="C20" s="11"/>
      <c r="J20" t="str">
        <f t="array" aca="1" ref="J20" ca="1">IFERROR(INDEX(DaftarPembeli,SMALL(IF(OrderIDList=$I$2,ROW(DaftarPembeli)-ROW(PartsData!E$2)+1),ROWS(PartsData!E$2:'PartsData'!E20))),"")</f>
        <v/>
      </c>
      <c r="K20" t="str">
        <f ca="1">IF(J20="","",COUNTIF(ListPembeli,"&lt;="&amp;$J20))</f>
        <v/>
      </c>
      <c r="L20" t="str">
        <f ca="1">IF(K20="","",INDEX(ListPembeli,MATCH(ROWS($K$2:$K20),$K$2:$K$101,0)))</f>
        <v/>
      </c>
      <c r="N20" s="77" t="str">
        <f t="array" aca="1" ref="N20" ca="1">IFERROR(INDEX(DaftarPembeli,SMALL(IF(OrderIDList=$M$2,ROW(DaftarPembeli)-ROW(PartsData!E$2)+1),ROWS(PartsData!E$2:'PartsData'!E20))),"")</f>
        <v/>
      </c>
      <c r="O20" t="str">
        <f ca="1">IF(N20="","",COUNTIF(ListCariPembeli,"&lt;="&amp;$N20))</f>
        <v/>
      </c>
      <c r="P20" t="str">
        <f ca="1">IF(O20="","",INDEX(ListCariPembeli,MATCH(ROWS($O$2:$O20),$O$2:$O$201,0)))</f>
        <v/>
      </c>
      <c r="T20" s="77" t="str">
        <f t="array" aca="1" ref="T20" ca="1">IFERROR(INDEX(DaftarPembeli,SMALL(IF(OrderIDList=$S$2,ROW(DaftarPembeli)-ROW(PartsData!E$2)+1),ROWS(PartsData!E$2:'PartsData'!E20))),"")</f>
        <v/>
      </c>
      <c r="U20" s="77" t="str">
        <f ca="1">IF(T20="","",COUNTIF(ListNamaPembeli,"&lt;="&amp;$T20))</f>
        <v/>
      </c>
      <c r="V20" s="77" t="str">
        <f ca="1">IF(U20="","",INDEX(ListNamaPembeli,MATCH(ROWS($U$2:$U20),$U$2:$U$201,0)))</f>
        <v/>
      </c>
      <c r="Y20" s="77" t="str">
        <f t="array" aca="1" ref="Y20" ca="1">IFERROR(INDEX(RekapPembeli,SMALL(IF(RekapKontak=$X$2,ROW(RekapPembeli)-ROW(DataPemesanan!F$2)+1),ROWS(DataPemesanan!F$2:'DataPemesanan'!F20))),"")</f>
        <v/>
      </c>
      <c r="Z20" s="77" t="str">
        <f ca="1">IF(Y20="","",COUNTIF(DataRekapPembeli,"&lt;="&amp;$Y20))</f>
        <v/>
      </c>
      <c r="AA20" s="77" t="str">
        <f ca="1">IF(Z20="","",INDEX(DataRekapPembeli,MATCH(ROWS($Z$2:$Z20),$Z$2:$Z$201,0)))</f>
        <v/>
      </c>
    </row>
    <row r="21" spans="2:27" ht="18" customHeight="1">
      <c r="J21" t="str">
        <f t="array" aca="1" ref="J21" ca="1">IFERROR(INDEX(DaftarPembeli,SMALL(IF(OrderIDList=$I$2,ROW(DaftarPembeli)-ROW(PartsData!E$2)+1),ROWS(PartsData!E$2:'PartsData'!E21))),"")</f>
        <v/>
      </c>
      <c r="K21" t="str">
        <f ca="1">IF(J21="","",COUNTIF(ListPembeli,"&lt;="&amp;$J21))</f>
        <v/>
      </c>
      <c r="L21" t="str">
        <f ca="1">IF(K21="","",INDEX(ListPembeli,MATCH(ROWS($K$2:$K21),$K$2:$K$101,0)))</f>
        <v/>
      </c>
      <c r="N21" s="77" t="str">
        <f t="array" aca="1" ref="N21" ca="1">IFERROR(INDEX(DaftarPembeli,SMALL(IF(OrderIDList=$M$2,ROW(DaftarPembeli)-ROW(PartsData!E$2)+1),ROWS(PartsData!E$2:'PartsData'!E21))),"")</f>
        <v/>
      </c>
      <c r="O21" t="str">
        <f ca="1">IF(N21="","",COUNTIF(ListCariPembeli,"&lt;="&amp;$N21))</f>
        <v/>
      </c>
      <c r="P21" t="str">
        <f ca="1">IF(O21="","",INDEX(ListCariPembeli,MATCH(ROWS($O$2:$O21),$O$2:$O$201,0)))</f>
        <v/>
      </c>
      <c r="T21" s="77" t="str">
        <f t="array" aca="1" ref="T21" ca="1">IFERROR(INDEX(DaftarPembeli,SMALL(IF(OrderIDList=$S$2,ROW(DaftarPembeli)-ROW(PartsData!E$2)+1),ROWS(PartsData!E$2:'PartsData'!E21))),"")</f>
        <v/>
      </c>
      <c r="U21" s="77" t="str">
        <f ca="1">IF(T21="","",COUNTIF(ListNamaPembeli,"&lt;="&amp;$T21))</f>
        <v/>
      </c>
      <c r="V21" s="77" t="str">
        <f ca="1">IF(U21="","",INDEX(ListNamaPembeli,MATCH(ROWS($U$2:$U21),$U$2:$U$201,0)))</f>
        <v/>
      </c>
      <c r="Y21" s="77" t="str">
        <f t="array" aca="1" ref="Y21" ca="1">IFERROR(INDEX(RekapPembeli,SMALL(IF(RekapKontak=$X$2,ROW(RekapPembeli)-ROW(DataPemesanan!F$2)+1),ROWS(DataPemesanan!F$2:'DataPemesanan'!F21))),"")</f>
        <v/>
      </c>
      <c r="Z21" s="77" t="str">
        <f ca="1">IF(Y21="","",COUNTIF(DataRekapPembeli,"&lt;="&amp;$Y21))</f>
        <v/>
      </c>
      <c r="AA21" s="77" t="str">
        <f ca="1">IF(Z21="","",INDEX(DataRekapPembeli,MATCH(ROWS($Z$2:$Z21),$Z$2:$Z$201,0)))</f>
        <v/>
      </c>
    </row>
    <row r="22" spans="2:27" ht="18" customHeight="1">
      <c r="B22" s="20"/>
      <c r="J22" t="str">
        <f t="array" aca="1" ref="J22" ca="1">IFERROR(INDEX(DaftarPembeli,SMALL(IF(OrderIDList=$I$2,ROW(DaftarPembeli)-ROW(PartsData!E$2)+1),ROWS(PartsData!E$2:'PartsData'!E22))),"")</f>
        <v/>
      </c>
      <c r="K22" t="str">
        <f ca="1">IF(J22="","",COUNTIF(ListPembeli,"&lt;="&amp;$J22))</f>
        <v/>
      </c>
      <c r="L22" t="str">
        <f ca="1">IF(K22="","",INDEX(ListPembeli,MATCH(ROWS($K$2:$K22),$K$2:$K$101,0)))</f>
        <v/>
      </c>
      <c r="N22" s="77" t="str">
        <f t="array" aca="1" ref="N22" ca="1">IFERROR(INDEX(DaftarPembeli,SMALL(IF(OrderIDList=$M$2,ROW(DaftarPembeli)-ROW(PartsData!E$2)+1),ROWS(PartsData!E$2:'PartsData'!E22))),"")</f>
        <v/>
      </c>
      <c r="O22" t="str">
        <f ca="1">IF(N22="","",COUNTIF(ListCariPembeli,"&lt;="&amp;$N22))</f>
        <v/>
      </c>
      <c r="P22" t="str">
        <f ca="1">IF(O22="","",INDEX(ListCariPembeli,MATCH(ROWS($O$2:$O22),$O$2:$O$201,0)))</f>
        <v/>
      </c>
      <c r="T22" s="77" t="str">
        <f t="array" aca="1" ref="T22" ca="1">IFERROR(INDEX(DaftarPembeli,SMALL(IF(OrderIDList=$S$2,ROW(DaftarPembeli)-ROW(PartsData!E$2)+1),ROWS(PartsData!E$2:'PartsData'!E22))),"")</f>
        <v/>
      </c>
      <c r="U22" s="77" t="str">
        <f ca="1">IF(T22="","",COUNTIF(ListNamaPembeli,"&lt;="&amp;$T22))</f>
        <v/>
      </c>
      <c r="V22" s="77" t="str">
        <f ca="1">IF(U22="","",INDEX(ListNamaPembeli,MATCH(ROWS($U$2:$U22),$U$2:$U$201,0)))</f>
        <v/>
      </c>
      <c r="Y22" s="77" t="str">
        <f t="array" aca="1" ref="Y22" ca="1">IFERROR(INDEX(RekapPembeli,SMALL(IF(RekapKontak=$X$2,ROW(RekapPembeli)-ROW(DataPemesanan!F$2)+1),ROWS(DataPemesanan!F$2:'DataPemesanan'!F22))),"")</f>
        <v/>
      </c>
      <c r="Z22" s="77" t="str">
        <f ca="1">IF(Y22="","",COUNTIF(DataRekapPembeli,"&lt;="&amp;$Y22))</f>
        <v/>
      </c>
      <c r="AA22" s="77" t="str">
        <f ca="1">IF(Z22="","",INDEX(DataRekapPembeli,MATCH(ROWS($Z$2:$Z22),$Z$2:$Z$201,0)))</f>
        <v/>
      </c>
    </row>
    <row r="23" spans="2:27" ht="18" customHeight="1">
      <c r="C23" s="12"/>
      <c r="J23" t="str">
        <f t="array" aca="1" ref="J23" ca="1">IFERROR(INDEX(DaftarPembeli,SMALL(IF(OrderIDList=$I$2,ROW(DaftarPembeli)-ROW(PartsData!E$2)+1),ROWS(PartsData!E$2:'PartsData'!E23))),"")</f>
        <v/>
      </c>
      <c r="K23" t="str">
        <f ca="1">IF(J23="","",COUNTIF(ListPembeli,"&lt;="&amp;$J23))</f>
        <v/>
      </c>
      <c r="L23" t="str">
        <f ca="1">IF(K23="","",INDEX(ListPembeli,MATCH(ROWS($K$2:$K23),$K$2:$K$101,0)))</f>
        <v/>
      </c>
      <c r="N23" s="77" t="str">
        <f t="array" aca="1" ref="N23" ca="1">IFERROR(INDEX(DaftarPembeli,SMALL(IF(OrderIDList=$M$2,ROW(DaftarPembeli)-ROW(PartsData!E$2)+1),ROWS(PartsData!E$2:'PartsData'!E23))),"")</f>
        <v/>
      </c>
      <c r="O23" t="str">
        <f ca="1">IF(N23="","",COUNTIF(ListCariPembeli,"&lt;="&amp;$N23))</f>
        <v/>
      </c>
      <c r="P23" t="str">
        <f ca="1">IF(O23="","",INDEX(ListCariPembeli,MATCH(ROWS($O$2:$O23),$O$2:$O$201,0)))</f>
        <v/>
      </c>
      <c r="T23" s="77" t="str">
        <f t="array" aca="1" ref="T23" ca="1">IFERROR(INDEX(DaftarPembeli,SMALL(IF(OrderIDList=$S$2,ROW(DaftarPembeli)-ROW(PartsData!E$2)+1),ROWS(PartsData!E$2:'PartsData'!E23))),"")</f>
        <v/>
      </c>
      <c r="U23" s="77" t="str">
        <f ca="1">IF(T23="","",COUNTIF(ListNamaPembeli,"&lt;="&amp;$T23))</f>
        <v/>
      </c>
      <c r="V23" s="77" t="str">
        <f ca="1">IF(U23="","",INDEX(ListNamaPembeli,MATCH(ROWS($U$2:$U23),$U$2:$U$201,0)))</f>
        <v/>
      </c>
      <c r="Y23" s="77" t="str">
        <f t="array" aca="1" ref="Y23" ca="1">IFERROR(INDEX(RekapPembeli,SMALL(IF(RekapKontak=$X$2,ROW(RekapPembeli)-ROW(DataPemesanan!F$2)+1),ROWS(DataPemesanan!F$2:'DataPemesanan'!F23))),"")</f>
        <v/>
      </c>
      <c r="Z23" s="77" t="str">
        <f ca="1">IF(Y23="","",COUNTIF(DataRekapPembeli,"&lt;="&amp;$Y23))</f>
        <v/>
      </c>
      <c r="AA23" s="77" t="str">
        <f ca="1">IF(Z23="","",INDEX(DataRekapPembeli,MATCH(ROWS($Z$2:$Z23),$Z$2:$Z$201,0)))</f>
        <v/>
      </c>
    </row>
    <row r="24" spans="2:27" ht="18" customHeight="1">
      <c r="C24" s="11"/>
      <c r="J24" t="str">
        <f t="array" aca="1" ref="J24" ca="1">IFERROR(INDEX(DaftarPembeli,SMALL(IF(OrderIDList=$I$2,ROW(DaftarPembeli)-ROW(PartsData!E$2)+1),ROWS(PartsData!E$2:'PartsData'!E24))),"")</f>
        <v/>
      </c>
      <c r="K24" t="str">
        <f ca="1">IF(J24="","",COUNTIF(ListPembeli,"&lt;="&amp;$J24))</f>
        <v/>
      </c>
      <c r="L24" t="str">
        <f ca="1">IF(K24="","",INDEX(ListPembeli,MATCH(ROWS($K$2:$K24),$K$2:$K$101,0)))</f>
        <v/>
      </c>
      <c r="N24" s="77" t="str">
        <f t="array" aca="1" ref="N24" ca="1">IFERROR(INDEX(DaftarPembeli,SMALL(IF(OrderIDList=$M$2,ROW(DaftarPembeli)-ROW(PartsData!E$2)+1),ROWS(PartsData!E$2:'PartsData'!E24))),"")</f>
        <v/>
      </c>
      <c r="O24" t="str">
        <f ca="1">IF(N24="","",COUNTIF(ListCariPembeli,"&lt;="&amp;$N24))</f>
        <v/>
      </c>
      <c r="P24" t="str">
        <f ca="1">IF(O24="","",INDEX(ListCariPembeli,MATCH(ROWS($O$2:$O24),$O$2:$O$201,0)))</f>
        <v/>
      </c>
      <c r="T24" s="77" t="str">
        <f t="array" aca="1" ref="T24" ca="1">IFERROR(INDEX(DaftarPembeli,SMALL(IF(OrderIDList=$S$2,ROW(DaftarPembeli)-ROW(PartsData!E$2)+1),ROWS(PartsData!E$2:'PartsData'!E24))),"")</f>
        <v/>
      </c>
      <c r="U24" s="77" t="str">
        <f ca="1">IF(T24="","",COUNTIF(ListNamaPembeli,"&lt;="&amp;$T24))</f>
        <v/>
      </c>
      <c r="V24" s="77" t="str">
        <f ca="1">IF(U24="","",INDEX(ListNamaPembeli,MATCH(ROWS($U$2:$U24),$U$2:$U$201,0)))</f>
        <v/>
      </c>
      <c r="Y24" s="77" t="str">
        <f t="array" aca="1" ref="Y24" ca="1">IFERROR(INDEX(RekapPembeli,SMALL(IF(RekapKontak=$X$2,ROW(RekapPembeli)-ROW(DataPemesanan!F$2)+1),ROWS(DataPemesanan!F$2:'DataPemesanan'!F24))),"")</f>
        <v/>
      </c>
      <c r="Z24" s="77" t="str">
        <f ca="1">IF(Y24="","",COUNTIF(DataRekapPembeli,"&lt;="&amp;$Y24))</f>
        <v/>
      </c>
      <c r="AA24" s="77" t="str">
        <f ca="1">IF(Z24="","",INDEX(DataRekapPembeli,MATCH(ROWS($Z$2:$Z24),$Z$2:$Z$201,0)))</f>
        <v/>
      </c>
    </row>
    <row r="25" spans="2:27" ht="18" customHeight="1">
      <c r="C25" s="11"/>
      <c r="J25" t="str">
        <f t="array" aca="1" ref="J25" ca="1">IFERROR(INDEX(DaftarPembeli,SMALL(IF(OrderIDList=$I$2,ROW(DaftarPembeli)-ROW(PartsData!E$2)+1),ROWS(PartsData!E$2:'PartsData'!E25))),"")</f>
        <v/>
      </c>
      <c r="K25" t="str">
        <f ca="1">IF(J25="","",COUNTIF(ListPembeli,"&lt;="&amp;$J25))</f>
        <v/>
      </c>
      <c r="L25" t="str">
        <f ca="1">IF(K25="","",INDEX(ListPembeli,MATCH(ROWS($K$2:$K25),$K$2:$K$101,0)))</f>
        <v/>
      </c>
      <c r="N25" s="77" t="str">
        <f t="array" aca="1" ref="N25" ca="1">IFERROR(INDEX(DaftarPembeli,SMALL(IF(OrderIDList=$M$2,ROW(DaftarPembeli)-ROW(PartsData!E$2)+1),ROWS(PartsData!E$2:'PartsData'!E25))),"")</f>
        <v/>
      </c>
      <c r="O25" t="str">
        <f ca="1">IF(N25="","",COUNTIF(ListCariPembeli,"&lt;="&amp;$N25))</f>
        <v/>
      </c>
      <c r="P25" t="str">
        <f ca="1">IF(O25="","",INDEX(ListCariPembeli,MATCH(ROWS($O$2:$O25),$O$2:$O$201,0)))</f>
        <v/>
      </c>
      <c r="T25" s="77" t="str">
        <f t="array" aca="1" ref="T25" ca="1">IFERROR(INDEX(DaftarPembeli,SMALL(IF(OrderIDList=$S$2,ROW(DaftarPembeli)-ROW(PartsData!E$2)+1),ROWS(PartsData!E$2:'PartsData'!E25))),"")</f>
        <v/>
      </c>
      <c r="U25" s="77" t="str">
        <f ca="1">IF(T25="","",COUNTIF(ListNamaPembeli,"&lt;="&amp;$T25))</f>
        <v/>
      </c>
      <c r="V25" s="77" t="str">
        <f ca="1">IF(U25="","",INDEX(ListNamaPembeli,MATCH(ROWS($U$2:$U25),$U$2:$U$201,0)))</f>
        <v/>
      </c>
      <c r="Y25" s="77" t="str">
        <f t="array" aca="1" ref="Y25" ca="1">IFERROR(INDEX(RekapPembeli,SMALL(IF(RekapKontak=$X$2,ROW(RekapPembeli)-ROW(DataPemesanan!F$2)+1),ROWS(DataPemesanan!F$2:'DataPemesanan'!F25))),"")</f>
        <v/>
      </c>
      <c r="Z25" s="77" t="str">
        <f ca="1">IF(Y25="","",COUNTIF(DataRekapPembeli,"&lt;="&amp;$Y25))</f>
        <v/>
      </c>
      <c r="AA25" s="77" t="str">
        <f ca="1">IF(Z25="","",INDEX(DataRekapPembeli,MATCH(ROWS($Z$2:$Z25),$Z$2:$Z$201,0)))</f>
        <v/>
      </c>
    </row>
    <row r="26" spans="2:27" ht="18" customHeight="1">
      <c r="C26" s="11"/>
      <c r="J26" t="str">
        <f t="array" aca="1" ref="J26" ca="1">IFERROR(INDEX(DaftarPembeli,SMALL(IF(OrderIDList=$I$2,ROW(DaftarPembeli)-ROW(PartsData!E$2)+1),ROWS(PartsData!E$2:'PartsData'!E26))),"")</f>
        <v/>
      </c>
      <c r="K26" t="str">
        <f ca="1">IF(J26="","",COUNTIF(ListPembeli,"&lt;="&amp;$J26))</f>
        <v/>
      </c>
      <c r="L26" t="str">
        <f ca="1">IF(K26="","",INDEX(ListPembeli,MATCH(ROWS($K$2:$K26),$K$2:$K$101,0)))</f>
        <v/>
      </c>
      <c r="N26" s="77" t="str">
        <f t="array" aca="1" ref="N26" ca="1">IFERROR(INDEX(DaftarPembeli,SMALL(IF(OrderIDList=$M$2,ROW(DaftarPembeli)-ROW(PartsData!E$2)+1),ROWS(PartsData!E$2:'PartsData'!E26))),"")</f>
        <v/>
      </c>
      <c r="O26" t="str">
        <f ca="1">IF(N26="","",COUNTIF(ListCariPembeli,"&lt;="&amp;$N26))</f>
        <v/>
      </c>
      <c r="P26" t="str">
        <f ca="1">IF(O26="","",INDEX(ListCariPembeli,MATCH(ROWS($O$2:$O26),$O$2:$O$201,0)))</f>
        <v/>
      </c>
      <c r="T26" s="77" t="str">
        <f t="array" aca="1" ref="T26" ca="1">IFERROR(INDEX(DaftarPembeli,SMALL(IF(OrderIDList=$S$2,ROW(DaftarPembeli)-ROW(PartsData!E$2)+1),ROWS(PartsData!E$2:'PartsData'!E26))),"")</f>
        <v/>
      </c>
      <c r="U26" s="77" t="str">
        <f ca="1">IF(T26="","",COUNTIF(ListNamaPembeli,"&lt;="&amp;$T26))</f>
        <v/>
      </c>
      <c r="V26" s="77" t="str">
        <f ca="1">IF(U26="","",INDEX(ListNamaPembeli,MATCH(ROWS($U$2:$U26),$U$2:$U$201,0)))</f>
        <v/>
      </c>
      <c r="Y26" s="77" t="str">
        <f t="array" aca="1" ref="Y26" ca="1">IFERROR(INDEX(RekapPembeli,SMALL(IF(RekapKontak=$X$2,ROW(RekapPembeli)-ROW(DataPemesanan!F$2)+1),ROWS(DataPemesanan!F$2:'DataPemesanan'!F26))),"")</f>
        <v/>
      </c>
      <c r="Z26" s="77" t="str">
        <f ca="1">IF(Y26="","",COUNTIF(DataRekapPembeli,"&lt;="&amp;$Y26))</f>
        <v/>
      </c>
      <c r="AA26" s="77" t="str">
        <f ca="1">IF(Z26="","",INDEX(DataRekapPembeli,MATCH(ROWS($Z$2:$Z26),$Z$2:$Z$201,0)))</f>
        <v/>
      </c>
    </row>
    <row r="27" spans="2:27" ht="18" customHeight="1">
      <c r="J27" t="str">
        <f t="array" aca="1" ref="J27" ca="1">IFERROR(INDEX(DaftarPembeli,SMALL(IF(OrderIDList=$I$2,ROW(DaftarPembeli)-ROW(PartsData!E$2)+1),ROWS(PartsData!E$2:'PartsData'!E27))),"")</f>
        <v/>
      </c>
      <c r="K27" t="str">
        <f ca="1">IF(J27="","",COUNTIF(ListPembeli,"&lt;="&amp;$J27))</f>
        <v/>
      </c>
      <c r="L27" t="str">
        <f ca="1">IF(K27="","",INDEX(ListPembeli,MATCH(ROWS($K$2:$K27),$K$2:$K$101,0)))</f>
        <v/>
      </c>
      <c r="N27" s="77" t="str">
        <f t="array" aca="1" ref="N27" ca="1">IFERROR(INDEX(DaftarPembeli,SMALL(IF(OrderIDList=$M$2,ROW(DaftarPembeli)-ROW(PartsData!E$2)+1),ROWS(PartsData!E$2:'PartsData'!E27))),"")</f>
        <v/>
      </c>
      <c r="O27" t="str">
        <f ca="1">IF(N27="","",COUNTIF(ListCariPembeli,"&lt;="&amp;$N27))</f>
        <v/>
      </c>
      <c r="P27" t="str">
        <f ca="1">IF(O27="","",INDEX(ListCariPembeli,MATCH(ROWS($O$2:$O27),$O$2:$O$201,0)))</f>
        <v/>
      </c>
      <c r="T27" s="77" t="str">
        <f t="array" aca="1" ref="T27" ca="1">IFERROR(INDEX(DaftarPembeli,SMALL(IF(OrderIDList=$S$2,ROW(DaftarPembeli)-ROW(PartsData!E$2)+1),ROWS(PartsData!E$2:'PartsData'!E27))),"")</f>
        <v/>
      </c>
      <c r="U27" s="77" t="str">
        <f ca="1">IF(T27="","",COUNTIF(ListNamaPembeli,"&lt;="&amp;$T27))</f>
        <v/>
      </c>
      <c r="V27" s="77" t="str">
        <f ca="1">IF(U27="","",INDEX(ListNamaPembeli,MATCH(ROWS($U$2:$U27),$U$2:$U$201,0)))</f>
        <v/>
      </c>
      <c r="Y27" s="77" t="str">
        <f t="array" aca="1" ref="Y27" ca="1">IFERROR(INDEX(RekapPembeli,SMALL(IF(RekapKontak=$X$2,ROW(RekapPembeli)-ROW(DataPemesanan!F$2)+1),ROWS(DataPemesanan!F$2:'DataPemesanan'!F27))),"")</f>
        <v/>
      </c>
      <c r="Z27" s="77" t="str">
        <f ca="1">IF(Y27="","",COUNTIF(DataRekapPembeli,"&lt;="&amp;$Y27))</f>
        <v/>
      </c>
      <c r="AA27" s="77" t="str">
        <f ca="1">IF(Z27="","",INDEX(DataRekapPembeli,MATCH(ROWS($Z$2:$Z27),$Z$2:$Z$201,0)))</f>
        <v/>
      </c>
    </row>
    <row r="28" spans="2:27" ht="18" customHeight="1">
      <c r="B28" s="20"/>
      <c r="J28" t="str">
        <f t="array" aca="1" ref="J28" ca="1">IFERROR(INDEX(DaftarPembeli,SMALL(IF(OrderIDList=$I$2,ROW(DaftarPembeli)-ROW(PartsData!E$2)+1),ROWS(PartsData!E$2:'PartsData'!E28))),"")</f>
        <v/>
      </c>
      <c r="K28" t="str">
        <f ca="1">IF(J28="","",COUNTIF(ListPembeli,"&lt;="&amp;$J28))</f>
        <v/>
      </c>
      <c r="L28" t="str">
        <f ca="1">IF(K28="","",INDEX(ListPembeli,MATCH(ROWS($K$2:$K28),$K$2:$K$101,0)))</f>
        <v/>
      </c>
      <c r="N28" s="77" t="str">
        <f t="array" aca="1" ref="N28" ca="1">IFERROR(INDEX(DaftarPembeli,SMALL(IF(OrderIDList=$M$2,ROW(DaftarPembeli)-ROW(PartsData!E$2)+1),ROWS(PartsData!E$2:'PartsData'!E28))),"")</f>
        <v/>
      </c>
      <c r="O28" t="str">
        <f ca="1">IF(N28="","",COUNTIF(ListCariPembeli,"&lt;="&amp;$N28))</f>
        <v/>
      </c>
      <c r="P28" t="str">
        <f ca="1">IF(O28="","",INDEX(ListCariPembeli,MATCH(ROWS($O$2:$O28),$O$2:$O$201,0)))</f>
        <v/>
      </c>
      <c r="T28" s="77" t="str">
        <f t="array" aca="1" ref="T28" ca="1">IFERROR(INDEX(DaftarPembeli,SMALL(IF(OrderIDList=$S$2,ROW(DaftarPembeli)-ROW(PartsData!E$2)+1),ROWS(PartsData!E$2:'PartsData'!E28))),"")</f>
        <v/>
      </c>
      <c r="U28" s="77" t="str">
        <f ca="1">IF(T28="","",COUNTIF(ListNamaPembeli,"&lt;="&amp;$T28))</f>
        <v/>
      </c>
      <c r="V28" s="77" t="str">
        <f ca="1">IF(U28="","",INDEX(ListNamaPembeli,MATCH(ROWS($U$2:$U28),$U$2:$U$201,0)))</f>
        <v/>
      </c>
      <c r="Y28" s="77" t="str">
        <f t="array" aca="1" ref="Y28" ca="1">IFERROR(INDEX(RekapPembeli,SMALL(IF(RekapKontak=$X$2,ROW(RekapPembeli)-ROW(DataPemesanan!F$2)+1),ROWS(DataPemesanan!F$2:'DataPemesanan'!F28))),"")</f>
        <v/>
      </c>
      <c r="Z28" s="77" t="str">
        <f ca="1">IF(Y28="","",COUNTIF(DataRekapPembeli,"&lt;="&amp;$Y28))</f>
        <v/>
      </c>
      <c r="AA28" s="77" t="str">
        <f ca="1">IF(Z28="","",INDEX(DataRekapPembeli,MATCH(ROWS($Z$2:$Z28),$Z$2:$Z$201,0)))</f>
        <v/>
      </c>
    </row>
    <row r="29" spans="2:27" ht="18" customHeight="1">
      <c r="C29" s="11"/>
      <c r="J29" t="str">
        <f t="array" aca="1" ref="J29" ca="1">IFERROR(INDEX(DaftarPembeli,SMALL(IF(OrderIDList=$I$2,ROW(DaftarPembeli)-ROW(PartsData!E$2)+1),ROWS(PartsData!E$2:'PartsData'!E29))),"")</f>
        <v/>
      </c>
      <c r="K29" t="str">
        <f ca="1">IF(J29="","",COUNTIF(ListPembeli,"&lt;="&amp;$J29))</f>
        <v/>
      </c>
      <c r="L29" t="str">
        <f ca="1">IF(K29="","",INDEX(ListPembeli,MATCH(ROWS($K$2:$K29),$K$2:$K$101,0)))</f>
        <v/>
      </c>
      <c r="N29" s="77" t="str">
        <f t="array" aca="1" ref="N29" ca="1">IFERROR(INDEX(DaftarPembeli,SMALL(IF(OrderIDList=$M$2,ROW(DaftarPembeli)-ROW(PartsData!E$2)+1),ROWS(PartsData!E$2:'PartsData'!E29))),"")</f>
        <v/>
      </c>
      <c r="O29" t="str">
        <f ca="1">IF(N29="","",COUNTIF(ListCariPembeli,"&lt;="&amp;$N29))</f>
        <v/>
      </c>
      <c r="P29" t="str">
        <f ca="1">IF(O29="","",INDEX(ListCariPembeli,MATCH(ROWS($O$2:$O29),$O$2:$O$201,0)))</f>
        <v/>
      </c>
      <c r="T29" s="77" t="str">
        <f t="array" aca="1" ref="T29" ca="1">IFERROR(INDEX(DaftarPembeli,SMALL(IF(OrderIDList=$S$2,ROW(DaftarPembeli)-ROW(PartsData!E$2)+1),ROWS(PartsData!E$2:'PartsData'!E29))),"")</f>
        <v/>
      </c>
      <c r="U29" s="77" t="str">
        <f ca="1">IF(T29="","",COUNTIF(ListNamaPembeli,"&lt;="&amp;$T29))</f>
        <v/>
      </c>
      <c r="V29" s="77" t="str">
        <f ca="1">IF(U29="","",INDEX(ListNamaPembeli,MATCH(ROWS($U$2:$U29),$U$2:$U$201,0)))</f>
        <v/>
      </c>
      <c r="Y29" s="77" t="str">
        <f t="array" aca="1" ref="Y29" ca="1">IFERROR(INDEX(RekapPembeli,SMALL(IF(RekapKontak=$X$2,ROW(RekapPembeli)-ROW(DataPemesanan!F$2)+1),ROWS(DataPemesanan!F$2:'DataPemesanan'!F29))),"")</f>
        <v/>
      </c>
      <c r="Z29" s="77" t="str">
        <f ca="1">IF(Y29="","",COUNTIF(DataRekapPembeli,"&lt;="&amp;$Y29))</f>
        <v/>
      </c>
      <c r="AA29" s="77" t="str">
        <f ca="1">IF(Z29="","",INDEX(DataRekapPembeli,MATCH(ROWS($Z$2:$Z29),$Z$2:$Z$201,0)))</f>
        <v/>
      </c>
    </row>
    <row r="30" spans="2:27" ht="18" customHeight="1">
      <c r="C30" s="11"/>
      <c r="J30" t="str">
        <f t="array" aca="1" ref="J30" ca="1">IFERROR(INDEX(DaftarPembeli,SMALL(IF(OrderIDList=$I$2,ROW(DaftarPembeli)-ROW(PartsData!E$2)+1),ROWS(PartsData!E$2:'PartsData'!E30))),"")</f>
        <v/>
      </c>
      <c r="K30" t="str">
        <f ca="1">IF(J30="","",COUNTIF(ListPembeli,"&lt;="&amp;$J30))</f>
        <v/>
      </c>
      <c r="L30" t="str">
        <f ca="1">IF(K30="","",INDEX(ListPembeli,MATCH(ROWS($K$2:$K30),$K$2:$K$101,0)))</f>
        <v/>
      </c>
      <c r="N30" s="77" t="str">
        <f t="array" aca="1" ref="N30" ca="1">IFERROR(INDEX(DaftarPembeli,SMALL(IF(OrderIDList=$M$2,ROW(DaftarPembeli)-ROW(PartsData!E$2)+1),ROWS(PartsData!E$2:'PartsData'!E30))),"")</f>
        <v/>
      </c>
      <c r="O30" t="str">
        <f ca="1">IF(N30="","",COUNTIF(ListCariPembeli,"&lt;="&amp;$N30))</f>
        <v/>
      </c>
      <c r="P30" t="str">
        <f ca="1">IF(O30="","",INDEX(ListCariPembeli,MATCH(ROWS($O$2:$O30),$O$2:$O$201,0)))</f>
        <v/>
      </c>
      <c r="T30" s="77" t="str">
        <f t="array" aca="1" ref="T30" ca="1">IFERROR(INDEX(DaftarPembeli,SMALL(IF(OrderIDList=$S$2,ROW(DaftarPembeli)-ROW(PartsData!E$2)+1),ROWS(PartsData!E$2:'PartsData'!E30))),"")</f>
        <v/>
      </c>
      <c r="U30" s="77" t="str">
        <f ca="1">IF(T30="","",COUNTIF(ListNamaPembeli,"&lt;="&amp;$T30))</f>
        <v/>
      </c>
      <c r="V30" s="77" t="str">
        <f ca="1">IF(U30="","",INDEX(ListNamaPembeli,MATCH(ROWS($U$2:$U30),$U$2:$U$201,0)))</f>
        <v/>
      </c>
      <c r="Y30" s="77" t="str">
        <f t="array" aca="1" ref="Y30" ca="1">IFERROR(INDEX(RekapPembeli,SMALL(IF(RekapKontak=$X$2,ROW(RekapPembeli)-ROW(DataPemesanan!F$2)+1),ROWS(DataPemesanan!F$2:'DataPemesanan'!F30))),"")</f>
        <v/>
      </c>
      <c r="Z30" s="77" t="str">
        <f ca="1">IF(Y30="","",COUNTIF(DataRekapPembeli,"&lt;="&amp;$Y30))</f>
        <v/>
      </c>
      <c r="AA30" s="77" t="str">
        <f ca="1">IF(Z30="","",INDEX(DataRekapPembeli,MATCH(ROWS($Z$2:$Z30),$Z$2:$Z$201,0)))</f>
        <v/>
      </c>
    </row>
    <row r="31" spans="2:27" ht="18" customHeight="1">
      <c r="C31" s="11"/>
      <c r="J31" t="str">
        <f t="array" aca="1" ref="J31" ca="1">IFERROR(INDEX(DaftarPembeli,SMALL(IF(OrderIDList=$I$2,ROW(DaftarPembeli)-ROW(PartsData!E$2)+1),ROWS(PartsData!E$2:'PartsData'!E31))),"")</f>
        <v/>
      </c>
      <c r="K31" t="str">
        <f ca="1">IF(J31="","",COUNTIF(ListPembeli,"&lt;="&amp;$J31))</f>
        <v/>
      </c>
      <c r="L31" t="str">
        <f ca="1">IF(K31="","",INDEX(ListPembeli,MATCH(ROWS($K$2:$K31),$K$2:$K$101,0)))</f>
        <v/>
      </c>
      <c r="N31" s="77" t="str">
        <f t="array" aca="1" ref="N31" ca="1">IFERROR(INDEX(DaftarPembeli,SMALL(IF(OrderIDList=$M$2,ROW(DaftarPembeli)-ROW(PartsData!E$2)+1),ROWS(PartsData!E$2:'PartsData'!E31))),"")</f>
        <v/>
      </c>
      <c r="O31" t="str">
        <f ca="1">IF(N31="","",COUNTIF(ListCariPembeli,"&lt;="&amp;$N31))</f>
        <v/>
      </c>
      <c r="P31" t="str">
        <f ca="1">IF(O31="","",INDEX(ListCariPembeli,MATCH(ROWS($O$2:$O31),$O$2:$O$201,0)))</f>
        <v/>
      </c>
      <c r="T31" s="77" t="str">
        <f t="array" aca="1" ref="T31" ca="1">IFERROR(INDEX(DaftarPembeli,SMALL(IF(OrderIDList=$S$2,ROW(DaftarPembeli)-ROW(PartsData!E$2)+1),ROWS(PartsData!E$2:'PartsData'!E31))),"")</f>
        <v/>
      </c>
      <c r="U31" s="77" t="str">
        <f ca="1">IF(T31="","",COUNTIF(ListNamaPembeli,"&lt;="&amp;$T31))</f>
        <v/>
      </c>
      <c r="V31" s="77" t="str">
        <f ca="1">IF(U31="","",INDEX(ListNamaPembeli,MATCH(ROWS($U$2:$U31),$U$2:$U$201,0)))</f>
        <v/>
      </c>
      <c r="Y31" s="77" t="str">
        <f t="array" aca="1" ref="Y31" ca="1">IFERROR(INDEX(RekapPembeli,SMALL(IF(RekapKontak=$X$2,ROW(RekapPembeli)-ROW(DataPemesanan!F$2)+1),ROWS(DataPemesanan!F$2:'DataPemesanan'!F31))),"")</f>
        <v/>
      </c>
      <c r="Z31" s="77" t="str">
        <f ca="1">IF(Y31="","",COUNTIF(DataRekapPembeli,"&lt;="&amp;$Y31))</f>
        <v/>
      </c>
      <c r="AA31" s="77" t="str">
        <f ca="1">IF(Z31="","",INDEX(DataRekapPembeli,MATCH(ROWS($Z$2:$Z31),$Z$2:$Z$201,0)))</f>
        <v/>
      </c>
    </row>
    <row r="32" spans="2:27" ht="18" customHeight="1">
      <c r="C32" s="11"/>
      <c r="J32" t="str">
        <f t="array" aca="1" ref="J32" ca="1">IFERROR(INDEX(DaftarPembeli,SMALL(IF(OrderIDList=$I$2,ROW(DaftarPembeli)-ROW(PartsData!E$2)+1),ROWS(PartsData!E$2:'PartsData'!E32))),"")</f>
        <v/>
      </c>
      <c r="K32" t="str">
        <f ca="1">IF(J32="","",COUNTIF(ListPembeli,"&lt;="&amp;$J32))</f>
        <v/>
      </c>
      <c r="L32" t="str">
        <f ca="1">IF(K32="","",INDEX(ListPembeli,MATCH(ROWS($K$2:$K32),$K$2:$K$101,0)))</f>
        <v/>
      </c>
      <c r="N32" s="77" t="str">
        <f t="array" aca="1" ref="N32" ca="1">IFERROR(INDEX(DaftarPembeli,SMALL(IF(OrderIDList=$M$2,ROW(DaftarPembeli)-ROW(PartsData!E$2)+1),ROWS(PartsData!E$2:'PartsData'!E32))),"")</f>
        <v/>
      </c>
      <c r="O32" t="str">
        <f ca="1">IF(N32="","",COUNTIF(ListCariPembeli,"&lt;="&amp;$N32))</f>
        <v/>
      </c>
      <c r="P32" t="str">
        <f ca="1">IF(O32="","",INDEX(ListCariPembeli,MATCH(ROWS($O$2:$O32),$O$2:$O$201,0)))</f>
        <v/>
      </c>
      <c r="T32" s="77" t="str">
        <f t="array" aca="1" ref="T32" ca="1">IFERROR(INDEX(DaftarPembeli,SMALL(IF(OrderIDList=$S$2,ROW(DaftarPembeli)-ROW(PartsData!E$2)+1),ROWS(PartsData!E$2:'PartsData'!E32))),"")</f>
        <v/>
      </c>
      <c r="U32" s="77" t="str">
        <f ca="1">IF(T32="","",COUNTIF(ListNamaPembeli,"&lt;="&amp;$T32))</f>
        <v/>
      </c>
      <c r="V32" s="77" t="str">
        <f ca="1">IF(U32="","",INDEX(ListNamaPembeli,MATCH(ROWS($U$2:$U32),$U$2:$U$201,0)))</f>
        <v/>
      </c>
      <c r="Y32" s="77" t="str">
        <f t="array" aca="1" ref="Y32" ca="1">IFERROR(INDEX(RekapPembeli,SMALL(IF(RekapKontak=$X$2,ROW(RekapPembeli)-ROW(DataPemesanan!F$2)+1),ROWS(DataPemesanan!F$2:'DataPemesanan'!F32))),"")</f>
        <v/>
      </c>
      <c r="Z32" s="77" t="str">
        <f ca="1">IF(Y32="","",COUNTIF(DataRekapPembeli,"&lt;="&amp;$Y32))</f>
        <v/>
      </c>
      <c r="AA32" s="77" t="str">
        <f ca="1">IF(Z32="","",INDEX(DataRekapPembeli,MATCH(ROWS($Z$2:$Z32),$Z$2:$Z$201,0)))</f>
        <v/>
      </c>
    </row>
    <row r="33" spans="4:27" ht="18" customHeight="1">
      <c r="D33" s="11"/>
      <c r="J33" t="str">
        <f t="array" aca="1" ref="J33" ca="1">IFERROR(INDEX(DaftarPembeli,SMALL(IF(OrderIDList=$I$2,ROW(DaftarPembeli)-ROW(PartsData!E$2)+1),ROWS(PartsData!E$2:'PartsData'!E33))),"")</f>
        <v/>
      </c>
      <c r="K33" t="str">
        <f ca="1">IF(J33="","",COUNTIF(ListPembeli,"&lt;="&amp;$J33))</f>
        <v/>
      </c>
      <c r="L33" t="str">
        <f ca="1">IF(K33="","",INDEX(ListPembeli,MATCH(ROWS($K$2:$K33),$K$2:$K$101,0)))</f>
        <v/>
      </c>
      <c r="N33" s="77" t="str">
        <f t="array" aca="1" ref="N33" ca="1">IFERROR(INDEX(DaftarPembeli,SMALL(IF(OrderIDList=$M$2,ROW(DaftarPembeli)-ROW(PartsData!E$2)+1),ROWS(PartsData!E$2:'PartsData'!E33))),"")</f>
        <v/>
      </c>
      <c r="O33" t="str">
        <f ca="1">IF(N33="","",COUNTIF(ListCariPembeli,"&lt;="&amp;$N33))</f>
        <v/>
      </c>
      <c r="P33" t="str">
        <f ca="1">IF(O33="","",INDEX(ListCariPembeli,MATCH(ROWS($O$2:$O33),$O$2:$O$201,0)))</f>
        <v/>
      </c>
      <c r="T33" s="77" t="str">
        <f t="array" aca="1" ref="T33" ca="1">IFERROR(INDEX(DaftarPembeli,SMALL(IF(OrderIDList=$S$2,ROW(DaftarPembeli)-ROW(PartsData!E$2)+1),ROWS(PartsData!E$2:'PartsData'!E33))),"")</f>
        <v/>
      </c>
      <c r="U33" s="77" t="str">
        <f ca="1">IF(T33="","",COUNTIF(ListNamaPembeli,"&lt;="&amp;$T33))</f>
        <v/>
      </c>
      <c r="V33" s="77" t="str">
        <f ca="1">IF(U33="","",INDEX(ListNamaPembeli,MATCH(ROWS($U$2:$U33),$U$2:$U$201,0)))</f>
        <v/>
      </c>
      <c r="Y33" s="77" t="str">
        <f t="array" aca="1" ref="Y33" ca="1">IFERROR(INDEX(RekapPembeli,SMALL(IF(RekapKontak=$X$2,ROW(RekapPembeli)-ROW(DataPemesanan!F$2)+1),ROWS(DataPemesanan!F$2:'DataPemesanan'!F33))),"")</f>
        <v/>
      </c>
      <c r="Z33" s="77" t="str">
        <f ca="1">IF(Y33="","",COUNTIF(DataRekapPembeli,"&lt;="&amp;$Y33))</f>
        <v/>
      </c>
      <c r="AA33" s="77" t="str">
        <f ca="1">IF(Z33="","",INDEX(DataRekapPembeli,MATCH(ROWS($Z$2:$Z33),$Z$2:$Z$201,0)))</f>
        <v/>
      </c>
    </row>
    <row r="34" spans="4:27" ht="18" customHeight="1">
      <c r="J34" t="str">
        <f t="array" aca="1" ref="J34" ca="1">IFERROR(INDEX(DaftarPembeli,SMALL(IF(OrderIDList=$I$2,ROW(DaftarPembeli)-ROW(PartsData!E$2)+1),ROWS(PartsData!E$2:'PartsData'!E34))),"")</f>
        <v/>
      </c>
      <c r="K34" t="str">
        <f ca="1">IF(J34="","",COUNTIF(ListPembeli,"&lt;="&amp;$J34))</f>
        <v/>
      </c>
      <c r="L34" t="str">
        <f ca="1">IF(K34="","",INDEX(ListPembeli,MATCH(ROWS($K$2:$K34),$K$2:$K$101,0)))</f>
        <v/>
      </c>
      <c r="N34" s="77" t="str">
        <f t="array" aca="1" ref="N34" ca="1">IFERROR(INDEX(DaftarPembeli,SMALL(IF(OrderIDList=$M$2,ROW(DaftarPembeli)-ROW(PartsData!E$2)+1),ROWS(PartsData!E$2:'PartsData'!E34))),"")</f>
        <v/>
      </c>
      <c r="O34" t="str">
        <f ca="1">IF(N34="","",COUNTIF(ListCariPembeli,"&lt;="&amp;$N34))</f>
        <v/>
      </c>
      <c r="P34" t="str">
        <f ca="1">IF(O34="","",INDEX(ListCariPembeli,MATCH(ROWS($O$2:$O34),$O$2:$O$201,0)))</f>
        <v/>
      </c>
      <c r="T34" s="77" t="str">
        <f t="array" aca="1" ref="T34" ca="1">IFERROR(INDEX(DaftarPembeli,SMALL(IF(OrderIDList=$S$2,ROW(DaftarPembeli)-ROW(PartsData!E$2)+1),ROWS(PartsData!E$2:'PartsData'!E34))),"")</f>
        <v/>
      </c>
      <c r="U34" s="77" t="str">
        <f ca="1">IF(T34="","",COUNTIF(ListNamaPembeli,"&lt;="&amp;$T34))</f>
        <v/>
      </c>
      <c r="V34" s="77" t="str">
        <f ca="1">IF(U34="","",INDEX(ListNamaPembeli,MATCH(ROWS($U$2:$U34),$U$2:$U$201,0)))</f>
        <v/>
      </c>
      <c r="Y34" s="77" t="str">
        <f t="array" aca="1" ref="Y34" ca="1">IFERROR(INDEX(RekapPembeli,SMALL(IF(RekapKontak=$X$2,ROW(RekapPembeli)-ROW(DataPemesanan!F$2)+1),ROWS(DataPemesanan!F$2:'DataPemesanan'!F34))),"")</f>
        <v/>
      </c>
      <c r="Z34" s="77" t="str">
        <f ca="1">IF(Y34="","",COUNTIF(DataRekapPembeli,"&lt;="&amp;$Y34))</f>
        <v/>
      </c>
      <c r="AA34" s="77" t="str">
        <f ca="1">IF(Z34="","",INDEX(DataRekapPembeli,MATCH(ROWS($Z$2:$Z34),$Z$2:$Z$201,0)))</f>
        <v/>
      </c>
    </row>
    <row r="35" spans="4:27" ht="18" customHeight="1">
      <c r="J35" t="str">
        <f t="array" aca="1" ref="J35" ca="1">IFERROR(INDEX(DaftarPembeli,SMALL(IF(OrderIDList=$I$2,ROW(DaftarPembeli)-ROW(PartsData!E$2)+1),ROWS(PartsData!E$2:'PartsData'!E35))),"")</f>
        <v/>
      </c>
      <c r="K35" t="str">
        <f ca="1">IF(J35="","",COUNTIF(ListPembeli,"&lt;="&amp;$J35))</f>
        <v/>
      </c>
      <c r="L35" t="str">
        <f ca="1">IF(K35="","",INDEX(ListPembeli,MATCH(ROWS($K$2:$K35),$K$2:$K$101,0)))</f>
        <v/>
      </c>
      <c r="N35" s="77" t="str">
        <f t="array" aca="1" ref="N35" ca="1">IFERROR(INDEX(DaftarPembeli,SMALL(IF(OrderIDList=$M$2,ROW(DaftarPembeli)-ROW(PartsData!E$2)+1),ROWS(PartsData!E$2:'PartsData'!E35))),"")</f>
        <v/>
      </c>
      <c r="O35" t="str">
        <f ca="1">IF(N35="","",COUNTIF(ListCariPembeli,"&lt;="&amp;$N35))</f>
        <v/>
      </c>
      <c r="P35" t="str">
        <f ca="1">IF(O35="","",INDEX(ListCariPembeli,MATCH(ROWS($O$2:$O35),$O$2:$O$201,0)))</f>
        <v/>
      </c>
      <c r="T35" s="77" t="str">
        <f t="array" aca="1" ref="T35" ca="1">IFERROR(INDEX(DaftarPembeli,SMALL(IF(OrderIDList=$S$2,ROW(DaftarPembeli)-ROW(PartsData!E$2)+1),ROWS(PartsData!E$2:'PartsData'!E35))),"")</f>
        <v/>
      </c>
      <c r="U35" s="77" t="str">
        <f ca="1">IF(T35="","",COUNTIF(ListNamaPembeli,"&lt;="&amp;$T35))</f>
        <v/>
      </c>
      <c r="V35" s="77" t="str">
        <f ca="1">IF(U35="","",INDEX(ListNamaPembeli,MATCH(ROWS($U$2:$U35),$U$2:$U$201,0)))</f>
        <v/>
      </c>
      <c r="Y35" s="77" t="str">
        <f t="array" aca="1" ref="Y35" ca="1">IFERROR(INDEX(RekapPembeli,SMALL(IF(RekapKontak=$X$2,ROW(RekapPembeli)-ROW(DataPemesanan!F$2)+1),ROWS(DataPemesanan!F$2:'DataPemesanan'!F35))),"")</f>
        <v/>
      </c>
      <c r="Z35" s="77" t="str">
        <f ca="1">IF(Y35="","",COUNTIF(DataRekapPembeli,"&lt;="&amp;$Y35))</f>
        <v/>
      </c>
      <c r="AA35" s="77" t="str">
        <f ca="1">IF(Z35="","",INDEX(DataRekapPembeli,MATCH(ROWS($Z$2:$Z35),$Z$2:$Z$201,0)))</f>
        <v/>
      </c>
    </row>
    <row r="36" spans="4:27" ht="18" customHeight="1">
      <c r="J36" t="str">
        <f t="array" aca="1" ref="J36" ca="1">IFERROR(INDEX(DaftarPembeli,SMALL(IF(OrderIDList=$I$2,ROW(DaftarPembeli)-ROW(PartsData!E$2)+1),ROWS(PartsData!E$2:'PartsData'!E36))),"")</f>
        <v/>
      </c>
      <c r="K36" t="str">
        <f ca="1">IF(J36="","",COUNTIF(ListPembeli,"&lt;="&amp;$J36))</f>
        <v/>
      </c>
      <c r="L36" t="str">
        <f ca="1">IF(K36="","",INDEX(ListPembeli,MATCH(ROWS($K$2:$K36),$K$2:$K$101,0)))</f>
        <v/>
      </c>
      <c r="N36" s="77" t="str">
        <f t="array" aca="1" ref="N36" ca="1">IFERROR(INDEX(DaftarPembeli,SMALL(IF(OrderIDList=$M$2,ROW(DaftarPembeli)-ROW(PartsData!E$2)+1),ROWS(PartsData!E$2:'PartsData'!E36))),"")</f>
        <v/>
      </c>
      <c r="O36" t="str">
        <f ca="1">IF(N36="","",COUNTIF(ListCariPembeli,"&lt;="&amp;$N36))</f>
        <v/>
      </c>
      <c r="P36" t="str">
        <f ca="1">IF(O36="","",INDEX(ListCariPembeli,MATCH(ROWS($O$2:$O36),$O$2:$O$201,0)))</f>
        <v/>
      </c>
      <c r="T36" s="77" t="str">
        <f t="array" aca="1" ref="T36" ca="1">IFERROR(INDEX(DaftarPembeli,SMALL(IF(OrderIDList=$S$2,ROW(DaftarPembeli)-ROW(PartsData!E$2)+1),ROWS(PartsData!E$2:'PartsData'!E36))),"")</f>
        <v/>
      </c>
      <c r="U36" s="77" t="str">
        <f ca="1">IF(T36="","",COUNTIF(ListNamaPembeli,"&lt;="&amp;$T36))</f>
        <v/>
      </c>
      <c r="V36" s="77" t="str">
        <f ca="1">IF(U36="","",INDEX(ListNamaPembeli,MATCH(ROWS($U$2:$U36),$U$2:$U$201,0)))</f>
        <v/>
      </c>
      <c r="Y36" s="77" t="str">
        <f t="array" aca="1" ref="Y36" ca="1">IFERROR(INDEX(RekapPembeli,SMALL(IF(RekapKontak=$X$2,ROW(RekapPembeli)-ROW(DataPemesanan!F$2)+1),ROWS(DataPemesanan!F$2:'DataPemesanan'!F36))),"")</f>
        <v/>
      </c>
      <c r="Z36" s="77" t="str">
        <f ca="1">IF(Y36="","",COUNTIF(DataRekapPembeli,"&lt;="&amp;$Y36))</f>
        <v/>
      </c>
      <c r="AA36" s="77" t="str">
        <f ca="1">IF(Z36="","",INDEX(DataRekapPembeli,MATCH(ROWS($Z$2:$Z36),$Z$2:$Z$201,0)))</f>
        <v/>
      </c>
    </row>
    <row r="37" spans="4:27" ht="18" customHeight="1">
      <c r="J37" t="str">
        <f t="array" aca="1" ref="J37" ca="1">IFERROR(INDEX(DaftarPembeli,SMALL(IF(OrderIDList=$I$2,ROW(DaftarPembeli)-ROW(PartsData!E$2)+1),ROWS(PartsData!E$2:'PartsData'!E37))),"")</f>
        <v/>
      </c>
      <c r="K37" t="str">
        <f ca="1">IF(J37="","",COUNTIF(ListPembeli,"&lt;="&amp;$J37))</f>
        <v/>
      </c>
      <c r="L37" t="str">
        <f ca="1">IF(K37="","",INDEX(ListPembeli,MATCH(ROWS($K$2:$K37),$K$2:$K$101,0)))</f>
        <v/>
      </c>
      <c r="N37" s="77" t="str">
        <f t="array" aca="1" ref="N37" ca="1">IFERROR(INDEX(DaftarPembeli,SMALL(IF(OrderIDList=$M$2,ROW(DaftarPembeli)-ROW(PartsData!E$2)+1),ROWS(PartsData!E$2:'PartsData'!E37))),"")</f>
        <v/>
      </c>
      <c r="O37" t="str">
        <f ca="1">IF(N37="","",COUNTIF(ListCariPembeli,"&lt;="&amp;$N37))</f>
        <v/>
      </c>
      <c r="P37" t="str">
        <f ca="1">IF(O37="","",INDEX(ListCariPembeli,MATCH(ROWS($O$2:$O37),$O$2:$O$201,0)))</f>
        <v/>
      </c>
      <c r="T37" s="77" t="str">
        <f t="array" aca="1" ref="T37" ca="1">IFERROR(INDEX(DaftarPembeli,SMALL(IF(OrderIDList=$S$2,ROW(DaftarPembeli)-ROW(PartsData!E$2)+1),ROWS(PartsData!E$2:'PartsData'!E37))),"")</f>
        <v/>
      </c>
      <c r="U37" s="77" t="str">
        <f ca="1">IF(T37="","",COUNTIF(ListNamaPembeli,"&lt;="&amp;$T37))</f>
        <v/>
      </c>
      <c r="V37" s="77" t="str">
        <f ca="1">IF(U37="","",INDEX(ListNamaPembeli,MATCH(ROWS($U$2:$U37),$U$2:$U$201,0)))</f>
        <v/>
      </c>
      <c r="Y37" s="77" t="str">
        <f t="array" aca="1" ref="Y37" ca="1">IFERROR(INDEX(RekapPembeli,SMALL(IF(RekapKontak=$X$2,ROW(RekapPembeli)-ROW(DataPemesanan!F$2)+1),ROWS(DataPemesanan!F$2:'DataPemesanan'!F37))),"")</f>
        <v/>
      </c>
      <c r="Z37" s="77" t="str">
        <f ca="1">IF(Y37="","",COUNTIF(DataRekapPembeli,"&lt;="&amp;$Y37))</f>
        <v/>
      </c>
      <c r="AA37" s="77" t="str">
        <f ca="1">IF(Z37="","",INDEX(DataRekapPembeli,MATCH(ROWS($Z$2:$Z37),$Z$2:$Z$201,0)))</f>
        <v/>
      </c>
    </row>
    <row r="38" spans="4:27" ht="18" customHeight="1">
      <c r="J38" t="str">
        <f t="array" aca="1" ref="J38" ca="1">IFERROR(INDEX(DaftarPembeli,SMALL(IF(OrderIDList=$I$2,ROW(DaftarPembeli)-ROW(PartsData!E$2)+1),ROWS(PartsData!E$2:'PartsData'!E38))),"")</f>
        <v/>
      </c>
      <c r="K38" t="str">
        <f ca="1">IF(J38="","",COUNTIF(ListPembeli,"&lt;="&amp;$J38))</f>
        <v/>
      </c>
      <c r="L38" t="str">
        <f ca="1">IF(K38="","",INDEX(ListPembeli,MATCH(ROWS($K$2:$K38),$K$2:$K$101,0)))</f>
        <v/>
      </c>
      <c r="N38" s="77" t="str">
        <f t="array" aca="1" ref="N38" ca="1">IFERROR(INDEX(DaftarPembeli,SMALL(IF(OrderIDList=$M$2,ROW(DaftarPembeli)-ROW(PartsData!E$2)+1),ROWS(PartsData!E$2:'PartsData'!E38))),"")</f>
        <v/>
      </c>
      <c r="O38" t="str">
        <f ca="1">IF(N38="","",COUNTIF(ListCariPembeli,"&lt;="&amp;$N38))</f>
        <v/>
      </c>
      <c r="P38" t="str">
        <f ca="1">IF(O38="","",INDEX(ListCariPembeli,MATCH(ROWS($O$2:$O38),$O$2:$O$201,0)))</f>
        <v/>
      </c>
      <c r="T38" s="77" t="str">
        <f t="array" aca="1" ref="T38" ca="1">IFERROR(INDEX(DaftarPembeli,SMALL(IF(OrderIDList=$S$2,ROW(DaftarPembeli)-ROW(PartsData!E$2)+1),ROWS(PartsData!E$2:'PartsData'!E38))),"")</f>
        <v/>
      </c>
      <c r="U38" s="77" t="str">
        <f ca="1">IF(T38="","",COUNTIF(ListNamaPembeli,"&lt;="&amp;$T38))</f>
        <v/>
      </c>
      <c r="V38" s="77" t="str">
        <f ca="1">IF(U38="","",INDEX(ListNamaPembeli,MATCH(ROWS($U$2:$U38),$U$2:$U$201,0)))</f>
        <v/>
      </c>
      <c r="Y38" s="77" t="str">
        <f t="array" aca="1" ref="Y38" ca="1">IFERROR(INDEX(RekapPembeli,SMALL(IF(RekapKontak=$X$2,ROW(RekapPembeli)-ROW(DataPemesanan!F$2)+1),ROWS(DataPemesanan!F$2:'DataPemesanan'!F38))),"")</f>
        <v/>
      </c>
      <c r="Z38" s="77" t="str">
        <f ca="1">IF(Y38="","",COUNTIF(DataRekapPembeli,"&lt;="&amp;$Y38))</f>
        <v/>
      </c>
      <c r="AA38" s="77" t="str">
        <f ca="1">IF(Z38="","",INDEX(DataRekapPembeli,MATCH(ROWS($Z$2:$Z38),$Z$2:$Z$201,0)))</f>
        <v/>
      </c>
    </row>
    <row r="39" spans="4:27" ht="18" customHeight="1">
      <c r="J39" t="str">
        <f t="array" aca="1" ref="J39" ca="1">IFERROR(INDEX(DaftarPembeli,SMALL(IF(OrderIDList=$I$2,ROW(DaftarPembeli)-ROW(PartsData!E$2)+1),ROWS(PartsData!E$2:'PartsData'!E39))),"")</f>
        <v/>
      </c>
      <c r="K39" t="str">
        <f ca="1">IF(J39="","",COUNTIF(ListPembeli,"&lt;="&amp;$J39))</f>
        <v/>
      </c>
      <c r="L39" t="str">
        <f ca="1">IF(K39="","",INDEX(ListPembeli,MATCH(ROWS($K$2:$K39),$K$2:$K$101,0)))</f>
        <v/>
      </c>
      <c r="N39" s="77" t="str">
        <f t="array" aca="1" ref="N39" ca="1">IFERROR(INDEX(DaftarPembeli,SMALL(IF(OrderIDList=$M$2,ROW(DaftarPembeli)-ROW(PartsData!E$2)+1),ROWS(PartsData!E$2:'PartsData'!E39))),"")</f>
        <v/>
      </c>
      <c r="O39" t="str">
        <f ca="1">IF(N39="","",COUNTIF(ListCariPembeli,"&lt;="&amp;$N39))</f>
        <v/>
      </c>
      <c r="P39" t="str">
        <f ca="1">IF(O39="","",INDEX(ListCariPembeli,MATCH(ROWS($O$2:$O39),$O$2:$O$201,0)))</f>
        <v/>
      </c>
      <c r="T39" s="77" t="str">
        <f t="array" aca="1" ref="T39" ca="1">IFERROR(INDEX(DaftarPembeli,SMALL(IF(OrderIDList=$S$2,ROW(DaftarPembeli)-ROW(PartsData!E$2)+1),ROWS(PartsData!E$2:'PartsData'!E39))),"")</f>
        <v/>
      </c>
      <c r="U39" s="77" t="str">
        <f ca="1">IF(T39="","",COUNTIF(ListNamaPembeli,"&lt;="&amp;$T39))</f>
        <v/>
      </c>
      <c r="V39" s="77" t="str">
        <f ca="1">IF(U39="","",INDEX(ListNamaPembeli,MATCH(ROWS($U$2:$U39),$U$2:$U$201,0)))</f>
        <v/>
      </c>
      <c r="Y39" s="77" t="str">
        <f t="array" aca="1" ref="Y39" ca="1">IFERROR(INDEX(RekapPembeli,SMALL(IF(RekapKontak=$X$2,ROW(RekapPembeli)-ROW(DataPemesanan!F$2)+1),ROWS(DataPemesanan!F$2:'DataPemesanan'!F39))),"")</f>
        <v/>
      </c>
      <c r="Z39" s="77" t="str">
        <f ca="1">IF(Y39="","",COUNTIF(DataRekapPembeli,"&lt;="&amp;$Y39))</f>
        <v/>
      </c>
      <c r="AA39" s="77" t="str">
        <f ca="1">IF(Z39="","",INDEX(DataRekapPembeli,MATCH(ROWS($Z$2:$Z39),$Z$2:$Z$201,0)))</f>
        <v/>
      </c>
    </row>
    <row r="40" spans="4:27" ht="18" customHeight="1">
      <c r="J40" t="str">
        <f t="array" aca="1" ref="J40" ca="1">IFERROR(INDEX(DaftarPembeli,SMALL(IF(OrderIDList=$I$2,ROW(DaftarPembeli)-ROW(PartsData!E$2)+1),ROWS(PartsData!E$2:'PartsData'!E40))),"")</f>
        <v/>
      </c>
      <c r="K40" t="str">
        <f ca="1">IF(J40="","",COUNTIF(ListPembeli,"&lt;="&amp;$J40))</f>
        <v/>
      </c>
      <c r="L40" t="str">
        <f ca="1">IF(K40="","",INDEX(ListPembeli,MATCH(ROWS($K$2:$K40),$K$2:$K$101,0)))</f>
        <v/>
      </c>
      <c r="N40" s="77" t="str">
        <f t="array" aca="1" ref="N40" ca="1">IFERROR(INDEX(DaftarPembeli,SMALL(IF(OrderIDList=$M$2,ROW(DaftarPembeli)-ROW(PartsData!E$2)+1),ROWS(PartsData!E$2:'PartsData'!E40))),"")</f>
        <v/>
      </c>
      <c r="O40" t="str">
        <f ca="1">IF(N40="","",COUNTIF(ListCariPembeli,"&lt;="&amp;$N40))</f>
        <v/>
      </c>
      <c r="P40" t="str">
        <f ca="1">IF(O40="","",INDEX(ListCariPembeli,MATCH(ROWS($O$2:$O40),$O$2:$O$201,0)))</f>
        <v/>
      </c>
      <c r="T40" s="77" t="str">
        <f t="array" aca="1" ref="T40" ca="1">IFERROR(INDEX(DaftarPembeli,SMALL(IF(OrderIDList=$S$2,ROW(DaftarPembeli)-ROW(PartsData!E$2)+1),ROWS(PartsData!E$2:'PartsData'!E40))),"")</f>
        <v/>
      </c>
      <c r="U40" s="77" t="str">
        <f ca="1">IF(T40="","",COUNTIF(ListNamaPembeli,"&lt;="&amp;$T40))</f>
        <v/>
      </c>
      <c r="V40" s="77" t="str">
        <f ca="1">IF(U40="","",INDEX(ListNamaPembeli,MATCH(ROWS($U$2:$U40),$U$2:$U$201,0)))</f>
        <v/>
      </c>
      <c r="Y40" s="77" t="str">
        <f t="array" aca="1" ref="Y40" ca="1">IFERROR(INDEX(RekapPembeli,SMALL(IF(RekapKontak=$X$2,ROW(RekapPembeli)-ROW(DataPemesanan!F$2)+1),ROWS(DataPemesanan!F$2:'DataPemesanan'!F40))),"")</f>
        <v/>
      </c>
      <c r="Z40" s="77" t="str">
        <f ca="1">IF(Y40="","",COUNTIF(DataRekapPembeli,"&lt;="&amp;$Y40))</f>
        <v/>
      </c>
      <c r="AA40" s="77" t="str">
        <f ca="1">IF(Z40="","",INDEX(DataRekapPembeli,MATCH(ROWS($Z$2:$Z40),$Z$2:$Z$201,0)))</f>
        <v/>
      </c>
    </row>
    <row r="41" spans="4:27" ht="18" customHeight="1">
      <c r="J41" t="str">
        <f t="array" aca="1" ref="J41" ca="1">IFERROR(INDEX(DaftarPembeli,SMALL(IF(OrderIDList=$I$2,ROW(DaftarPembeli)-ROW(PartsData!E$2)+1),ROWS(PartsData!E$2:'PartsData'!E41))),"")</f>
        <v/>
      </c>
      <c r="K41" t="str">
        <f ca="1">IF(J41="","",COUNTIF(ListPembeli,"&lt;="&amp;$J41))</f>
        <v/>
      </c>
      <c r="L41" t="str">
        <f ca="1">IF(K41="","",INDEX(ListPembeli,MATCH(ROWS($K$2:$K41),$K$2:$K$101,0)))</f>
        <v/>
      </c>
      <c r="N41" s="77" t="str">
        <f t="array" aca="1" ref="N41" ca="1">IFERROR(INDEX(DaftarPembeli,SMALL(IF(OrderIDList=$M$2,ROW(DaftarPembeli)-ROW(PartsData!E$2)+1),ROWS(PartsData!E$2:'PartsData'!E41))),"")</f>
        <v/>
      </c>
      <c r="O41" t="str">
        <f ca="1">IF(N41="","",COUNTIF(ListCariPembeli,"&lt;="&amp;$N41))</f>
        <v/>
      </c>
      <c r="P41" t="str">
        <f ca="1">IF(O41="","",INDEX(ListCariPembeli,MATCH(ROWS($O$2:$O41),$O$2:$O$201,0)))</f>
        <v/>
      </c>
      <c r="T41" s="77" t="str">
        <f t="array" aca="1" ref="T41" ca="1">IFERROR(INDEX(DaftarPembeli,SMALL(IF(OrderIDList=$S$2,ROW(DaftarPembeli)-ROW(PartsData!E$2)+1),ROWS(PartsData!E$2:'PartsData'!E41))),"")</f>
        <v/>
      </c>
      <c r="U41" s="77" t="str">
        <f ca="1">IF(T41="","",COUNTIF(ListNamaPembeli,"&lt;="&amp;$T41))</f>
        <v/>
      </c>
      <c r="V41" s="77" t="str">
        <f ca="1">IF(U41="","",INDEX(ListNamaPembeli,MATCH(ROWS($U$2:$U41),$U$2:$U$201,0)))</f>
        <v/>
      </c>
      <c r="Y41" s="77" t="str">
        <f t="array" aca="1" ref="Y41" ca="1">IFERROR(INDEX(RekapPembeli,SMALL(IF(RekapKontak=$X$2,ROW(RekapPembeli)-ROW(DataPemesanan!F$2)+1),ROWS(DataPemesanan!F$2:'DataPemesanan'!F41))),"")</f>
        <v/>
      </c>
      <c r="Z41" s="77" t="str">
        <f ca="1">IF(Y41="","",COUNTIF(DataRekapPembeli,"&lt;="&amp;$Y41))</f>
        <v/>
      </c>
      <c r="AA41" s="77" t="str">
        <f ca="1">IF(Z41="","",INDEX(DataRekapPembeli,MATCH(ROWS($Z$2:$Z41),$Z$2:$Z$201,0)))</f>
        <v/>
      </c>
    </row>
    <row r="42" spans="4:27" ht="18" customHeight="1">
      <c r="J42" t="str">
        <f t="array" aca="1" ref="J42" ca="1">IFERROR(INDEX(DaftarPembeli,SMALL(IF(OrderIDList=$I$2,ROW(DaftarPembeli)-ROW(PartsData!E$2)+1),ROWS(PartsData!E$2:'PartsData'!E42))),"")</f>
        <v/>
      </c>
      <c r="K42" t="str">
        <f ca="1">IF(J42="","",COUNTIF(ListPembeli,"&lt;="&amp;$J42))</f>
        <v/>
      </c>
      <c r="L42" t="str">
        <f ca="1">IF(K42="","",INDEX(ListPembeli,MATCH(ROWS($K$2:$K42),$K$2:$K$101,0)))</f>
        <v/>
      </c>
      <c r="N42" s="77" t="str">
        <f t="array" aca="1" ref="N42" ca="1">IFERROR(INDEX(DaftarPembeli,SMALL(IF(OrderIDList=$M$2,ROW(DaftarPembeli)-ROW(PartsData!E$2)+1),ROWS(PartsData!E$2:'PartsData'!E42))),"")</f>
        <v/>
      </c>
      <c r="O42" t="str">
        <f ca="1">IF(N42="","",COUNTIF(ListCariPembeli,"&lt;="&amp;$N42))</f>
        <v/>
      </c>
      <c r="P42" t="str">
        <f ca="1">IF(O42="","",INDEX(ListCariPembeli,MATCH(ROWS($O$2:$O42),$O$2:$O$201,0)))</f>
        <v/>
      </c>
      <c r="T42" s="77" t="str">
        <f t="array" aca="1" ref="T42" ca="1">IFERROR(INDEX(DaftarPembeli,SMALL(IF(OrderIDList=$S$2,ROW(DaftarPembeli)-ROW(PartsData!E$2)+1),ROWS(PartsData!E$2:'PartsData'!E42))),"")</f>
        <v/>
      </c>
      <c r="U42" s="77" t="str">
        <f ca="1">IF(T42="","",COUNTIF(ListNamaPembeli,"&lt;="&amp;$T42))</f>
        <v/>
      </c>
      <c r="V42" s="77" t="str">
        <f ca="1">IF(U42="","",INDEX(ListNamaPembeli,MATCH(ROWS($U$2:$U42),$U$2:$U$201,0)))</f>
        <v/>
      </c>
      <c r="Y42" s="77" t="str">
        <f t="array" aca="1" ref="Y42" ca="1">IFERROR(INDEX(RekapPembeli,SMALL(IF(RekapKontak=$X$2,ROW(RekapPembeli)-ROW(DataPemesanan!F$2)+1),ROWS(DataPemesanan!F$2:'DataPemesanan'!F42))),"")</f>
        <v/>
      </c>
      <c r="Z42" s="77" t="str">
        <f ca="1">IF(Y42="","",COUNTIF(DataRekapPembeli,"&lt;="&amp;$Y42))</f>
        <v/>
      </c>
      <c r="AA42" s="77" t="str">
        <f ca="1">IF(Z42="","",INDEX(DataRekapPembeli,MATCH(ROWS($Z$2:$Z42),$Z$2:$Z$201,0)))</f>
        <v/>
      </c>
    </row>
    <row r="43" spans="4:27" ht="18" customHeight="1">
      <c r="J43" t="str">
        <f t="array" aca="1" ref="J43" ca="1">IFERROR(INDEX(DaftarPembeli,SMALL(IF(OrderIDList=$I$2,ROW(DaftarPembeli)-ROW(PartsData!E$2)+1),ROWS(PartsData!E$2:'PartsData'!E43))),"")</f>
        <v/>
      </c>
      <c r="K43" t="str">
        <f ca="1">IF(J43="","",COUNTIF(ListPembeli,"&lt;="&amp;$J43))</f>
        <v/>
      </c>
      <c r="L43" t="str">
        <f ca="1">IF(K43="","",INDEX(ListPembeli,MATCH(ROWS($K$2:$K43),$K$2:$K$101,0)))</f>
        <v/>
      </c>
      <c r="N43" s="77" t="str">
        <f t="array" aca="1" ref="N43" ca="1">IFERROR(INDEX(DaftarPembeli,SMALL(IF(OrderIDList=$M$2,ROW(DaftarPembeli)-ROW(PartsData!E$2)+1),ROWS(PartsData!E$2:'PartsData'!E43))),"")</f>
        <v/>
      </c>
      <c r="O43" t="str">
        <f ca="1">IF(N43="","",COUNTIF(ListCariPembeli,"&lt;="&amp;$N43))</f>
        <v/>
      </c>
      <c r="P43" t="str">
        <f ca="1">IF(O43="","",INDEX(ListCariPembeli,MATCH(ROWS($O$2:$O43),$O$2:$O$201,0)))</f>
        <v/>
      </c>
      <c r="T43" s="77" t="str">
        <f t="array" aca="1" ref="T43" ca="1">IFERROR(INDEX(DaftarPembeli,SMALL(IF(OrderIDList=$S$2,ROW(DaftarPembeli)-ROW(PartsData!E$2)+1),ROWS(PartsData!E$2:'PartsData'!E43))),"")</f>
        <v/>
      </c>
      <c r="U43" s="77" t="str">
        <f ca="1">IF(T43="","",COUNTIF(ListNamaPembeli,"&lt;="&amp;$T43))</f>
        <v/>
      </c>
      <c r="V43" s="77" t="str">
        <f ca="1">IF(U43="","",INDEX(ListNamaPembeli,MATCH(ROWS($U$2:$U43),$U$2:$U$201,0)))</f>
        <v/>
      </c>
      <c r="Y43" s="77" t="str">
        <f t="array" aca="1" ref="Y43" ca="1">IFERROR(INDEX(RekapPembeli,SMALL(IF(RekapKontak=$X$2,ROW(RekapPembeli)-ROW(DataPemesanan!F$2)+1),ROWS(DataPemesanan!F$2:'DataPemesanan'!F43))),"")</f>
        <v/>
      </c>
      <c r="Z43" s="77" t="str">
        <f ca="1">IF(Y43="","",COUNTIF(DataRekapPembeli,"&lt;="&amp;$Y43))</f>
        <v/>
      </c>
      <c r="AA43" s="77" t="str">
        <f ca="1">IF(Z43="","",INDEX(DataRekapPembeli,MATCH(ROWS($Z$2:$Z43),$Z$2:$Z$201,0)))</f>
        <v/>
      </c>
    </row>
    <row r="44" spans="4:27" ht="18" customHeight="1">
      <c r="J44" t="str">
        <f t="array" aca="1" ref="J44" ca="1">IFERROR(INDEX(DaftarPembeli,SMALL(IF(OrderIDList=$I$2,ROW(DaftarPembeli)-ROW(PartsData!E$2)+1),ROWS(PartsData!E$2:'PartsData'!E44))),"")</f>
        <v/>
      </c>
      <c r="K44" t="str">
        <f ca="1">IF(J44="","",COUNTIF(ListPembeli,"&lt;="&amp;$J44))</f>
        <v/>
      </c>
      <c r="L44" t="str">
        <f ca="1">IF(K44="","",INDEX(ListPembeli,MATCH(ROWS($K$2:$K44),$K$2:$K$101,0)))</f>
        <v/>
      </c>
      <c r="N44" s="77" t="str">
        <f t="array" aca="1" ref="N44" ca="1">IFERROR(INDEX(DaftarPembeli,SMALL(IF(OrderIDList=$M$2,ROW(DaftarPembeli)-ROW(PartsData!E$2)+1),ROWS(PartsData!E$2:'PartsData'!E44))),"")</f>
        <v/>
      </c>
      <c r="O44" t="str">
        <f ca="1">IF(N44="","",COUNTIF(ListCariPembeli,"&lt;="&amp;$N44))</f>
        <v/>
      </c>
      <c r="P44" t="str">
        <f ca="1">IF(O44="","",INDEX(ListCariPembeli,MATCH(ROWS($O$2:$O44),$O$2:$O$201,0)))</f>
        <v/>
      </c>
      <c r="T44" s="77" t="str">
        <f t="array" aca="1" ref="T44" ca="1">IFERROR(INDEX(DaftarPembeli,SMALL(IF(OrderIDList=$S$2,ROW(DaftarPembeli)-ROW(PartsData!E$2)+1),ROWS(PartsData!E$2:'PartsData'!E44))),"")</f>
        <v/>
      </c>
      <c r="U44" s="77" t="str">
        <f ca="1">IF(T44="","",COUNTIF(ListNamaPembeli,"&lt;="&amp;$T44))</f>
        <v/>
      </c>
      <c r="V44" s="77" t="str">
        <f ca="1">IF(U44="","",INDEX(ListNamaPembeli,MATCH(ROWS($U$2:$U44),$U$2:$U$201,0)))</f>
        <v/>
      </c>
      <c r="Y44" s="77" t="str">
        <f t="array" aca="1" ref="Y44" ca="1">IFERROR(INDEX(RekapPembeli,SMALL(IF(RekapKontak=$X$2,ROW(RekapPembeli)-ROW(DataPemesanan!F$2)+1),ROWS(DataPemesanan!F$2:'DataPemesanan'!F44))),"")</f>
        <v/>
      </c>
      <c r="Z44" s="77" t="str">
        <f ca="1">IF(Y44="","",COUNTIF(DataRekapPembeli,"&lt;="&amp;$Y44))</f>
        <v/>
      </c>
      <c r="AA44" s="77" t="str">
        <f ca="1">IF(Z44="","",INDEX(DataRekapPembeli,MATCH(ROWS($Z$2:$Z44),$Z$2:$Z$201,0)))</f>
        <v/>
      </c>
    </row>
    <row r="45" spans="4:27" ht="18" customHeight="1">
      <c r="J45" t="str">
        <f t="array" aca="1" ref="J45" ca="1">IFERROR(INDEX(DaftarPembeli,SMALL(IF(OrderIDList=$I$2,ROW(DaftarPembeli)-ROW(PartsData!E$2)+1),ROWS(PartsData!E$2:'PartsData'!E45))),"")</f>
        <v/>
      </c>
      <c r="K45" t="str">
        <f ca="1">IF(J45="","",COUNTIF(ListPembeli,"&lt;="&amp;$J45))</f>
        <v/>
      </c>
      <c r="L45" t="str">
        <f ca="1">IF(K45="","",INDEX(ListPembeli,MATCH(ROWS($K$2:$K45),$K$2:$K$101,0)))</f>
        <v/>
      </c>
      <c r="N45" s="77" t="str">
        <f t="array" aca="1" ref="N45" ca="1">IFERROR(INDEX(DaftarPembeli,SMALL(IF(OrderIDList=$M$2,ROW(DaftarPembeli)-ROW(PartsData!E$2)+1),ROWS(PartsData!E$2:'PartsData'!E45))),"")</f>
        <v/>
      </c>
      <c r="O45" t="str">
        <f ca="1">IF(N45="","",COUNTIF(ListCariPembeli,"&lt;="&amp;$N45))</f>
        <v/>
      </c>
      <c r="P45" t="str">
        <f ca="1">IF(O45="","",INDEX(ListCariPembeli,MATCH(ROWS($O$2:$O45),$O$2:$O$201,0)))</f>
        <v/>
      </c>
      <c r="T45" s="77" t="str">
        <f t="array" aca="1" ref="T45" ca="1">IFERROR(INDEX(DaftarPembeli,SMALL(IF(OrderIDList=$S$2,ROW(DaftarPembeli)-ROW(PartsData!E$2)+1),ROWS(PartsData!E$2:'PartsData'!E45))),"")</f>
        <v/>
      </c>
      <c r="U45" s="77" t="str">
        <f ca="1">IF(T45="","",COUNTIF(ListNamaPembeli,"&lt;="&amp;$T45))</f>
        <v/>
      </c>
      <c r="V45" s="77" t="str">
        <f ca="1">IF(U45="","",INDEX(ListNamaPembeli,MATCH(ROWS($U$2:$U45),$U$2:$U$201,0)))</f>
        <v/>
      </c>
      <c r="Y45" s="77" t="str">
        <f t="array" aca="1" ref="Y45" ca="1">IFERROR(INDEX(RekapPembeli,SMALL(IF(RekapKontak=$X$2,ROW(RekapPembeli)-ROW(DataPemesanan!F$2)+1),ROWS(DataPemesanan!F$2:'DataPemesanan'!F45))),"")</f>
        <v/>
      </c>
      <c r="Z45" s="77" t="str">
        <f ca="1">IF(Y45="","",COUNTIF(DataRekapPembeli,"&lt;="&amp;$Y45))</f>
        <v/>
      </c>
      <c r="AA45" s="77" t="str">
        <f ca="1">IF(Z45="","",INDEX(DataRekapPembeli,MATCH(ROWS($Z$2:$Z45),$Z$2:$Z$201,0)))</f>
        <v/>
      </c>
    </row>
    <row r="46" spans="4:27" ht="18" customHeight="1">
      <c r="J46" t="str">
        <f t="array" aca="1" ref="J46" ca="1">IFERROR(INDEX(DaftarPembeli,SMALL(IF(OrderIDList=$I$2,ROW(DaftarPembeli)-ROW(PartsData!E$2)+1),ROWS(PartsData!E$2:'PartsData'!E46))),"")</f>
        <v/>
      </c>
      <c r="K46" t="str">
        <f ca="1">IF(J46="","",COUNTIF(ListPembeli,"&lt;="&amp;$J46))</f>
        <v/>
      </c>
      <c r="L46" t="str">
        <f ca="1">IF(K46="","",INDEX(ListPembeli,MATCH(ROWS($K$2:$K46),$K$2:$K$101,0)))</f>
        <v/>
      </c>
      <c r="N46" s="77" t="str">
        <f t="array" aca="1" ref="N46" ca="1">IFERROR(INDEX(DaftarPembeli,SMALL(IF(OrderIDList=$M$2,ROW(DaftarPembeli)-ROW(PartsData!E$2)+1),ROWS(PartsData!E$2:'PartsData'!E46))),"")</f>
        <v/>
      </c>
      <c r="O46" t="str">
        <f ca="1">IF(N46="","",COUNTIF(ListCariPembeli,"&lt;="&amp;$N46))</f>
        <v/>
      </c>
      <c r="P46" t="str">
        <f ca="1">IF(O46="","",INDEX(ListCariPembeli,MATCH(ROWS($O$2:$O46),$O$2:$O$201,0)))</f>
        <v/>
      </c>
      <c r="T46" s="77" t="str">
        <f t="array" aca="1" ref="T46" ca="1">IFERROR(INDEX(DaftarPembeli,SMALL(IF(OrderIDList=$S$2,ROW(DaftarPembeli)-ROW(PartsData!E$2)+1),ROWS(PartsData!E$2:'PartsData'!E46))),"")</f>
        <v/>
      </c>
      <c r="U46" s="77" t="str">
        <f ca="1">IF(T46="","",COUNTIF(ListNamaPembeli,"&lt;="&amp;$T46))</f>
        <v/>
      </c>
      <c r="V46" s="77" t="str">
        <f ca="1">IF(U46="","",INDEX(ListNamaPembeli,MATCH(ROWS($U$2:$U46),$U$2:$U$201,0)))</f>
        <v/>
      </c>
      <c r="Y46" s="77" t="str">
        <f t="array" aca="1" ref="Y46" ca="1">IFERROR(INDEX(RekapPembeli,SMALL(IF(RekapKontak=$X$2,ROW(RekapPembeli)-ROW(DataPemesanan!F$2)+1),ROWS(DataPemesanan!F$2:'DataPemesanan'!F46))),"")</f>
        <v/>
      </c>
      <c r="Z46" s="77" t="str">
        <f ca="1">IF(Y46="","",COUNTIF(DataRekapPembeli,"&lt;="&amp;$Y46))</f>
        <v/>
      </c>
      <c r="AA46" s="77" t="str">
        <f ca="1">IF(Z46="","",INDEX(DataRekapPembeli,MATCH(ROWS($Z$2:$Z46),$Z$2:$Z$201,0)))</f>
        <v/>
      </c>
    </row>
    <row r="47" spans="4:27" ht="18" customHeight="1">
      <c r="J47" t="str">
        <f t="array" aca="1" ref="J47" ca="1">IFERROR(INDEX(DaftarPembeli,SMALL(IF(OrderIDList=$I$2,ROW(DaftarPembeli)-ROW(PartsData!E$2)+1),ROWS(PartsData!E$2:'PartsData'!E47))),"")</f>
        <v/>
      </c>
      <c r="K47" t="str">
        <f ca="1">IF(J47="","",COUNTIF(ListPembeli,"&lt;="&amp;$J47))</f>
        <v/>
      </c>
      <c r="L47" t="str">
        <f ca="1">IF(K47="","",INDEX(ListPembeli,MATCH(ROWS($K$2:$K47),$K$2:$K$101,0)))</f>
        <v/>
      </c>
      <c r="N47" s="77" t="str">
        <f t="array" aca="1" ref="N47" ca="1">IFERROR(INDEX(DaftarPembeli,SMALL(IF(OrderIDList=$M$2,ROW(DaftarPembeli)-ROW(PartsData!E$2)+1),ROWS(PartsData!E$2:'PartsData'!E47))),"")</f>
        <v/>
      </c>
      <c r="O47" t="str">
        <f ca="1">IF(N47="","",COUNTIF(ListCariPembeli,"&lt;="&amp;$N47))</f>
        <v/>
      </c>
      <c r="P47" t="str">
        <f ca="1">IF(O47="","",INDEX(ListCariPembeli,MATCH(ROWS($O$2:$O47),$O$2:$O$201,0)))</f>
        <v/>
      </c>
      <c r="T47" s="77" t="str">
        <f t="array" aca="1" ref="T47" ca="1">IFERROR(INDEX(DaftarPembeli,SMALL(IF(OrderIDList=$S$2,ROW(DaftarPembeli)-ROW(PartsData!E$2)+1),ROWS(PartsData!E$2:'PartsData'!E47))),"")</f>
        <v/>
      </c>
      <c r="U47" s="77" t="str">
        <f ca="1">IF(T47="","",COUNTIF(ListNamaPembeli,"&lt;="&amp;$T47))</f>
        <v/>
      </c>
      <c r="V47" s="77" t="str">
        <f ca="1">IF(U47="","",INDEX(ListNamaPembeli,MATCH(ROWS($U$2:$U47),$U$2:$U$201,0)))</f>
        <v/>
      </c>
      <c r="Y47" s="77" t="str">
        <f t="array" aca="1" ref="Y47" ca="1">IFERROR(INDEX(RekapPembeli,SMALL(IF(RekapKontak=$X$2,ROW(RekapPembeli)-ROW(DataPemesanan!F$2)+1),ROWS(DataPemesanan!F$2:'DataPemesanan'!F47))),"")</f>
        <v/>
      </c>
      <c r="Z47" s="77" t="str">
        <f ca="1">IF(Y47="","",COUNTIF(DataRekapPembeli,"&lt;="&amp;$Y47))</f>
        <v/>
      </c>
      <c r="AA47" s="77" t="str">
        <f ca="1">IF(Z47="","",INDEX(DataRekapPembeli,MATCH(ROWS($Z$2:$Z47),$Z$2:$Z$201,0)))</f>
        <v/>
      </c>
    </row>
    <row r="48" spans="4:27" ht="18" customHeight="1">
      <c r="J48" t="str">
        <f t="array" aca="1" ref="J48" ca="1">IFERROR(INDEX(DaftarPembeli,SMALL(IF(OrderIDList=$I$2,ROW(DaftarPembeli)-ROW(PartsData!E$2)+1),ROWS(PartsData!E$2:'PartsData'!E48))),"")</f>
        <v/>
      </c>
      <c r="K48" t="str">
        <f ca="1">IF(J48="","",COUNTIF(ListPembeli,"&lt;="&amp;$J48))</f>
        <v/>
      </c>
      <c r="L48" t="str">
        <f ca="1">IF(K48="","",INDEX(ListPembeli,MATCH(ROWS($K$2:$K48),$K$2:$K$101,0)))</f>
        <v/>
      </c>
      <c r="N48" s="77" t="str">
        <f t="array" aca="1" ref="N48" ca="1">IFERROR(INDEX(DaftarPembeli,SMALL(IF(OrderIDList=$M$2,ROW(DaftarPembeli)-ROW(PartsData!E$2)+1),ROWS(PartsData!E$2:'PartsData'!E48))),"")</f>
        <v/>
      </c>
      <c r="O48" t="str">
        <f ca="1">IF(N48="","",COUNTIF(ListCariPembeli,"&lt;="&amp;$N48))</f>
        <v/>
      </c>
      <c r="P48" t="str">
        <f ca="1">IF(O48="","",INDEX(ListCariPembeli,MATCH(ROWS($O$2:$O48),$O$2:$O$201,0)))</f>
        <v/>
      </c>
      <c r="T48" s="77" t="str">
        <f t="array" aca="1" ref="T48" ca="1">IFERROR(INDEX(DaftarPembeli,SMALL(IF(OrderIDList=$S$2,ROW(DaftarPembeli)-ROW(PartsData!E$2)+1),ROWS(PartsData!E$2:'PartsData'!E48))),"")</f>
        <v/>
      </c>
      <c r="U48" s="77" t="str">
        <f ca="1">IF(T48="","",COUNTIF(ListNamaPembeli,"&lt;="&amp;$T48))</f>
        <v/>
      </c>
      <c r="V48" s="77" t="str">
        <f ca="1">IF(U48="","",INDEX(ListNamaPembeli,MATCH(ROWS($U$2:$U48),$U$2:$U$201,0)))</f>
        <v/>
      </c>
      <c r="Y48" s="77" t="str">
        <f t="array" aca="1" ref="Y48" ca="1">IFERROR(INDEX(RekapPembeli,SMALL(IF(RekapKontak=$X$2,ROW(RekapPembeli)-ROW(DataPemesanan!F$2)+1),ROWS(DataPemesanan!F$2:'DataPemesanan'!F48))),"")</f>
        <v/>
      </c>
      <c r="Z48" s="77" t="str">
        <f ca="1">IF(Y48="","",COUNTIF(DataRekapPembeli,"&lt;="&amp;$Y48))</f>
        <v/>
      </c>
      <c r="AA48" s="77" t="str">
        <f ca="1">IF(Z48="","",INDEX(DataRekapPembeli,MATCH(ROWS($Z$2:$Z48),$Z$2:$Z$201,0)))</f>
        <v/>
      </c>
    </row>
    <row r="49" spans="10:27" ht="18" customHeight="1">
      <c r="J49" t="str">
        <f t="array" aca="1" ref="J49" ca="1">IFERROR(INDEX(DaftarPembeli,SMALL(IF(OrderIDList=$I$2,ROW(DaftarPembeli)-ROW(PartsData!E$2)+1),ROWS(PartsData!E$2:'PartsData'!E49))),"")</f>
        <v/>
      </c>
      <c r="K49" t="str">
        <f ca="1">IF(J49="","",COUNTIF(ListPembeli,"&lt;="&amp;$J49))</f>
        <v/>
      </c>
      <c r="L49" t="str">
        <f ca="1">IF(K49="","",INDEX(ListPembeli,MATCH(ROWS($K$2:$K49),$K$2:$K$101,0)))</f>
        <v/>
      </c>
      <c r="N49" s="77" t="str">
        <f t="array" aca="1" ref="N49" ca="1">IFERROR(INDEX(DaftarPembeli,SMALL(IF(OrderIDList=$M$2,ROW(DaftarPembeli)-ROW(PartsData!E$2)+1),ROWS(PartsData!E$2:'PartsData'!E49))),"")</f>
        <v/>
      </c>
      <c r="O49" t="str">
        <f ca="1">IF(N49="","",COUNTIF(ListCariPembeli,"&lt;="&amp;$N49))</f>
        <v/>
      </c>
      <c r="P49" t="str">
        <f ca="1">IF(O49="","",INDEX(ListCariPembeli,MATCH(ROWS($O$2:$O49),$O$2:$O$201,0)))</f>
        <v/>
      </c>
      <c r="T49" s="77" t="str">
        <f t="array" aca="1" ref="T49" ca="1">IFERROR(INDEX(DaftarPembeli,SMALL(IF(OrderIDList=$S$2,ROW(DaftarPembeli)-ROW(PartsData!E$2)+1),ROWS(PartsData!E$2:'PartsData'!E49))),"")</f>
        <v/>
      </c>
      <c r="U49" s="77" t="str">
        <f ca="1">IF(T49="","",COUNTIF(ListNamaPembeli,"&lt;="&amp;$T49))</f>
        <v/>
      </c>
      <c r="V49" s="77" t="str">
        <f ca="1">IF(U49="","",INDEX(ListNamaPembeli,MATCH(ROWS($U$2:$U49),$U$2:$U$201,0)))</f>
        <v/>
      </c>
      <c r="Y49" s="77" t="str">
        <f t="array" aca="1" ref="Y49" ca="1">IFERROR(INDEX(RekapPembeli,SMALL(IF(RekapKontak=$X$2,ROW(RekapPembeli)-ROW(DataPemesanan!F$2)+1),ROWS(DataPemesanan!F$2:'DataPemesanan'!F49))),"")</f>
        <v/>
      </c>
      <c r="Z49" s="77" t="str">
        <f ca="1">IF(Y49="","",COUNTIF(DataRekapPembeli,"&lt;="&amp;$Y49))</f>
        <v/>
      </c>
      <c r="AA49" s="77" t="str">
        <f ca="1">IF(Z49="","",INDEX(DataRekapPembeli,MATCH(ROWS($Z$2:$Z49),$Z$2:$Z$201,0)))</f>
        <v/>
      </c>
    </row>
    <row r="50" spans="10:27" ht="18" customHeight="1">
      <c r="J50" t="str">
        <f t="array" aca="1" ref="J50" ca="1">IFERROR(INDEX(DaftarPembeli,SMALL(IF(OrderIDList=$I$2,ROW(DaftarPembeli)-ROW(PartsData!E$2)+1),ROWS(PartsData!E$2:'PartsData'!E50))),"")</f>
        <v/>
      </c>
      <c r="K50" t="str">
        <f ca="1">IF(J50="","",COUNTIF(ListPembeli,"&lt;="&amp;$J50))</f>
        <v/>
      </c>
      <c r="L50" t="str">
        <f ca="1">IF(K50="","",INDEX(ListPembeli,MATCH(ROWS($K$2:$K50),$K$2:$K$101,0)))</f>
        <v/>
      </c>
      <c r="N50" s="77" t="str">
        <f t="array" aca="1" ref="N50" ca="1">IFERROR(INDEX(DaftarPembeli,SMALL(IF(OrderIDList=$M$2,ROW(DaftarPembeli)-ROW(PartsData!E$2)+1),ROWS(PartsData!E$2:'PartsData'!E50))),"")</f>
        <v/>
      </c>
      <c r="O50" t="str">
        <f ca="1">IF(N50="","",COUNTIF(ListCariPembeli,"&lt;="&amp;$N50))</f>
        <v/>
      </c>
      <c r="P50" t="str">
        <f ca="1">IF(O50="","",INDEX(ListCariPembeli,MATCH(ROWS($O$2:$O50),$O$2:$O$201,0)))</f>
        <v/>
      </c>
      <c r="T50" s="77" t="str">
        <f t="array" aca="1" ref="T50" ca="1">IFERROR(INDEX(DaftarPembeli,SMALL(IF(OrderIDList=$S$2,ROW(DaftarPembeli)-ROW(PartsData!E$2)+1),ROWS(PartsData!E$2:'PartsData'!E50))),"")</f>
        <v/>
      </c>
      <c r="U50" s="77" t="str">
        <f ca="1">IF(T50="","",COUNTIF(ListNamaPembeli,"&lt;="&amp;$T50))</f>
        <v/>
      </c>
      <c r="V50" s="77" t="str">
        <f ca="1">IF(U50="","",INDEX(ListNamaPembeli,MATCH(ROWS($U$2:$U50),$U$2:$U$201,0)))</f>
        <v/>
      </c>
      <c r="Y50" s="77" t="str">
        <f t="array" aca="1" ref="Y50" ca="1">IFERROR(INDEX(RekapPembeli,SMALL(IF(RekapKontak=$X$2,ROW(RekapPembeli)-ROW(DataPemesanan!F$2)+1),ROWS(DataPemesanan!F$2:'DataPemesanan'!F50))),"")</f>
        <v/>
      </c>
      <c r="Z50" s="77" t="str">
        <f ca="1">IF(Y50="","",COUNTIF(DataRekapPembeli,"&lt;="&amp;$Y50))</f>
        <v/>
      </c>
      <c r="AA50" s="77" t="str">
        <f ca="1">IF(Z50="","",INDEX(DataRekapPembeli,MATCH(ROWS($Z$2:$Z50),$Z$2:$Z$201,0)))</f>
        <v/>
      </c>
    </row>
    <row r="51" spans="10:27" ht="18" customHeight="1">
      <c r="J51" t="str">
        <f t="array" aca="1" ref="J51" ca="1">IFERROR(INDEX(DaftarPembeli,SMALL(IF(OrderIDList=$I$2,ROW(DaftarPembeli)-ROW(PartsData!E$2)+1),ROWS(PartsData!E$2:'PartsData'!E51))),"")</f>
        <v/>
      </c>
      <c r="K51" t="str">
        <f ca="1">IF(J51="","",COUNTIF(ListPembeli,"&lt;="&amp;$J51))</f>
        <v/>
      </c>
      <c r="L51" t="str">
        <f ca="1">IF(K51="","",INDEX(ListPembeli,MATCH(ROWS($K$2:$K51),$K$2:$K$101,0)))</f>
        <v/>
      </c>
      <c r="N51" s="77" t="str">
        <f t="array" aca="1" ref="N51" ca="1">IFERROR(INDEX(DaftarPembeli,SMALL(IF(OrderIDList=$M$2,ROW(DaftarPembeli)-ROW(PartsData!E$2)+1),ROWS(PartsData!E$2:'PartsData'!E51))),"")</f>
        <v/>
      </c>
      <c r="O51" t="str">
        <f ca="1">IF(N51="","",COUNTIF(ListCariPembeli,"&lt;="&amp;$N51))</f>
        <v/>
      </c>
      <c r="P51" t="str">
        <f ca="1">IF(O51="","",INDEX(ListCariPembeli,MATCH(ROWS($O$2:$O51),$O$2:$O$201,0)))</f>
        <v/>
      </c>
      <c r="T51" s="77" t="str">
        <f t="array" aca="1" ref="T51" ca="1">IFERROR(INDEX(DaftarPembeli,SMALL(IF(OrderIDList=$S$2,ROW(DaftarPembeli)-ROW(PartsData!E$2)+1),ROWS(PartsData!E$2:'PartsData'!E51))),"")</f>
        <v/>
      </c>
      <c r="U51" s="77" t="str">
        <f ca="1">IF(T51="","",COUNTIF(ListNamaPembeli,"&lt;="&amp;$T51))</f>
        <v/>
      </c>
      <c r="V51" s="77" t="str">
        <f ca="1">IF(U51="","",INDEX(ListNamaPembeli,MATCH(ROWS($U$2:$U51),$U$2:$U$201,0)))</f>
        <v/>
      </c>
      <c r="Y51" s="77" t="str">
        <f t="array" aca="1" ref="Y51" ca="1">IFERROR(INDEX(RekapPembeli,SMALL(IF(RekapKontak=$X$2,ROW(RekapPembeli)-ROW(DataPemesanan!F$2)+1),ROWS(DataPemesanan!F$2:'DataPemesanan'!F51))),"")</f>
        <v/>
      </c>
      <c r="Z51" s="77" t="str">
        <f ca="1">IF(Y51="","",COUNTIF(DataRekapPembeli,"&lt;="&amp;$Y51))</f>
        <v/>
      </c>
      <c r="AA51" s="77" t="str">
        <f ca="1">IF(Z51="","",INDEX(DataRekapPembeli,MATCH(ROWS($Z$2:$Z51),$Z$2:$Z$201,0)))</f>
        <v/>
      </c>
    </row>
    <row r="52" spans="10:27" ht="18" customHeight="1">
      <c r="J52" t="str">
        <f t="array" aca="1" ref="J52" ca="1">IFERROR(INDEX(DaftarPembeli,SMALL(IF(OrderIDList=$I$2,ROW(DaftarPembeli)-ROW(PartsData!E$2)+1),ROWS(PartsData!E$2:'PartsData'!E52))),"")</f>
        <v/>
      </c>
      <c r="K52" t="str">
        <f ca="1">IF(J52="","",COUNTIF(ListPembeli,"&lt;="&amp;$J52))</f>
        <v/>
      </c>
      <c r="L52" t="str">
        <f ca="1">IF(K52="","",INDEX(ListPembeli,MATCH(ROWS($K$2:$K52),$K$2:$K$101,0)))</f>
        <v/>
      </c>
      <c r="N52" s="77" t="str">
        <f t="array" aca="1" ref="N52" ca="1">IFERROR(INDEX(DaftarPembeli,SMALL(IF(OrderIDList=$M$2,ROW(DaftarPembeli)-ROW(PartsData!E$2)+1),ROWS(PartsData!E$2:'PartsData'!E52))),"")</f>
        <v/>
      </c>
      <c r="O52" t="str">
        <f ca="1">IF(N52="","",COUNTIF(ListCariPembeli,"&lt;="&amp;$N52))</f>
        <v/>
      </c>
      <c r="P52" t="str">
        <f ca="1">IF(O52="","",INDEX(ListCariPembeli,MATCH(ROWS($O$2:$O52),$O$2:$O$201,0)))</f>
        <v/>
      </c>
      <c r="T52" s="77" t="str">
        <f t="array" aca="1" ref="T52" ca="1">IFERROR(INDEX(DaftarPembeli,SMALL(IF(OrderIDList=$S$2,ROW(DaftarPembeli)-ROW(PartsData!E$2)+1),ROWS(PartsData!E$2:'PartsData'!E52))),"")</f>
        <v/>
      </c>
      <c r="U52" s="77" t="str">
        <f ca="1">IF(T52="","",COUNTIF(ListNamaPembeli,"&lt;="&amp;$T52))</f>
        <v/>
      </c>
      <c r="V52" s="77" t="str">
        <f ca="1">IF(U52="","",INDEX(ListNamaPembeli,MATCH(ROWS($U$2:$U52),$U$2:$U$201,0)))</f>
        <v/>
      </c>
      <c r="Y52" s="77" t="str">
        <f t="array" aca="1" ref="Y52" ca="1">IFERROR(INDEX(RekapPembeli,SMALL(IF(RekapKontak=$X$2,ROW(RekapPembeli)-ROW(DataPemesanan!F$2)+1),ROWS(DataPemesanan!F$2:'DataPemesanan'!F52))),"")</f>
        <v/>
      </c>
      <c r="Z52" s="77" t="str">
        <f ca="1">IF(Y52="","",COUNTIF(DataRekapPembeli,"&lt;="&amp;$Y52))</f>
        <v/>
      </c>
      <c r="AA52" s="77" t="str">
        <f ca="1">IF(Z52="","",INDEX(DataRekapPembeli,MATCH(ROWS($Z$2:$Z52),$Z$2:$Z$201,0)))</f>
        <v/>
      </c>
    </row>
    <row r="53" spans="10:27" ht="18" customHeight="1">
      <c r="J53" t="str">
        <f t="array" aca="1" ref="J53" ca="1">IFERROR(INDEX(DaftarPembeli,SMALL(IF(OrderIDList=$I$2,ROW(DaftarPembeli)-ROW(PartsData!E$2)+1),ROWS(PartsData!E$2:'PartsData'!E53))),"")</f>
        <v/>
      </c>
      <c r="K53" t="str">
        <f ca="1">IF(J53="","",COUNTIF(ListPembeli,"&lt;="&amp;$J53))</f>
        <v/>
      </c>
      <c r="L53" t="str">
        <f ca="1">IF(K53="","",INDEX(ListPembeli,MATCH(ROWS($K$2:$K53),$K$2:$K$101,0)))</f>
        <v/>
      </c>
      <c r="N53" s="77" t="str">
        <f t="array" aca="1" ref="N53" ca="1">IFERROR(INDEX(DaftarPembeli,SMALL(IF(OrderIDList=$M$2,ROW(DaftarPembeli)-ROW(PartsData!E$2)+1),ROWS(PartsData!E$2:'PartsData'!E53))),"")</f>
        <v/>
      </c>
      <c r="O53" t="str">
        <f ca="1">IF(N53="","",COUNTIF(ListCariPembeli,"&lt;="&amp;$N53))</f>
        <v/>
      </c>
      <c r="P53" t="str">
        <f ca="1">IF(O53="","",INDEX(ListCariPembeli,MATCH(ROWS($O$2:$O53),$O$2:$O$201,0)))</f>
        <v/>
      </c>
      <c r="T53" s="77" t="str">
        <f t="array" aca="1" ref="T53" ca="1">IFERROR(INDEX(DaftarPembeli,SMALL(IF(OrderIDList=$S$2,ROW(DaftarPembeli)-ROW(PartsData!E$2)+1),ROWS(PartsData!E$2:'PartsData'!E53))),"")</f>
        <v/>
      </c>
      <c r="U53" s="77" t="str">
        <f ca="1">IF(T53="","",COUNTIF(ListNamaPembeli,"&lt;="&amp;$T53))</f>
        <v/>
      </c>
      <c r="V53" s="77" t="str">
        <f ca="1">IF(U53="","",INDEX(ListNamaPembeli,MATCH(ROWS($U$2:$U53),$U$2:$U$201,0)))</f>
        <v/>
      </c>
      <c r="Y53" s="77" t="str">
        <f t="array" aca="1" ref="Y53" ca="1">IFERROR(INDEX(RekapPembeli,SMALL(IF(RekapKontak=$X$2,ROW(RekapPembeli)-ROW(DataPemesanan!F$2)+1),ROWS(DataPemesanan!F$2:'DataPemesanan'!F53))),"")</f>
        <v/>
      </c>
      <c r="Z53" s="77" t="str">
        <f ca="1">IF(Y53="","",COUNTIF(DataRekapPembeli,"&lt;="&amp;$Y53))</f>
        <v/>
      </c>
      <c r="AA53" s="77" t="str">
        <f ca="1">IF(Z53="","",INDEX(DataRekapPembeli,MATCH(ROWS($Z$2:$Z53),$Z$2:$Z$201,0)))</f>
        <v/>
      </c>
    </row>
    <row r="54" spans="10:27" ht="18" customHeight="1">
      <c r="J54" t="str">
        <f t="array" aca="1" ref="J54" ca="1">IFERROR(INDEX(DaftarPembeli,SMALL(IF(OrderIDList=$I$2,ROW(DaftarPembeli)-ROW(PartsData!E$2)+1),ROWS(PartsData!E$2:'PartsData'!E54))),"")</f>
        <v/>
      </c>
      <c r="K54" t="str">
        <f ca="1">IF(J54="","",COUNTIF(ListPembeli,"&lt;="&amp;$J54))</f>
        <v/>
      </c>
      <c r="L54" t="str">
        <f ca="1">IF(K54="","",INDEX(ListPembeli,MATCH(ROWS($K$2:$K54),$K$2:$K$101,0)))</f>
        <v/>
      </c>
      <c r="N54" s="77" t="str">
        <f t="array" aca="1" ref="N54" ca="1">IFERROR(INDEX(DaftarPembeli,SMALL(IF(OrderIDList=$M$2,ROW(DaftarPembeli)-ROW(PartsData!E$2)+1),ROWS(PartsData!E$2:'PartsData'!E54))),"")</f>
        <v/>
      </c>
      <c r="O54" t="str">
        <f ca="1">IF(N54="","",COUNTIF(ListCariPembeli,"&lt;="&amp;$N54))</f>
        <v/>
      </c>
      <c r="P54" t="str">
        <f ca="1">IF(O54="","",INDEX(ListCariPembeli,MATCH(ROWS($O$2:$O54),$O$2:$O$201,0)))</f>
        <v/>
      </c>
      <c r="T54" s="77" t="str">
        <f t="array" aca="1" ref="T54" ca="1">IFERROR(INDEX(DaftarPembeli,SMALL(IF(OrderIDList=$S$2,ROW(DaftarPembeli)-ROW(PartsData!E$2)+1),ROWS(PartsData!E$2:'PartsData'!E54))),"")</f>
        <v/>
      </c>
      <c r="U54" s="77" t="str">
        <f ca="1">IF(T54="","",COUNTIF(ListNamaPembeli,"&lt;="&amp;$T54))</f>
        <v/>
      </c>
      <c r="V54" s="77" t="str">
        <f ca="1">IF(U54="","",INDEX(ListNamaPembeli,MATCH(ROWS($U$2:$U54),$U$2:$U$201,0)))</f>
        <v/>
      </c>
      <c r="Y54" s="77" t="str">
        <f t="array" aca="1" ref="Y54" ca="1">IFERROR(INDEX(RekapPembeli,SMALL(IF(RekapKontak=$X$2,ROW(RekapPembeli)-ROW(DataPemesanan!F$2)+1),ROWS(DataPemesanan!F$2:'DataPemesanan'!F54))),"")</f>
        <v/>
      </c>
      <c r="Z54" s="77" t="str">
        <f ca="1">IF(Y54="","",COUNTIF(DataRekapPembeli,"&lt;="&amp;$Y54))</f>
        <v/>
      </c>
      <c r="AA54" s="77" t="str">
        <f ca="1">IF(Z54="","",INDEX(DataRekapPembeli,MATCH(ROWS($Z$2:$Z54),$Z$2:$Z$201,0)))</f>
        <v/>
      </c>
    </row>
    <row r="55" spans="10:27" ht="18" customHeight="1">
      <c r="J55" t="str">
        <f t="array" aca="1" ref="J55" ca="1">IFERROR(INDEX(DaftarPembeli,SMALL(IF(OrderIDList=$I$2,ROW(DaftarPembeli)-ROW(PartsData!E$2)+1),ROWS(PartsData!E$2:'PartsData'!E55))),"")</f>
        <v/>
      </c>
      <c r="K55" t="str">
        <f ca="1">IF(J55="","",COUNTIF(ListPembeli,"&lt;="&amp;$J55))</f>
        <v/>
      </c>
      <c r="L55" t="str">
        <f ca="1">IF(K55="","",INDEX(ListPembeli,MATCH(ROWS($K$2:$K55),$K$2:$K$101,0)))</f>
        <v/>
      </c>
      <c r="N55" s="77" t="str">
        <f t="array" aca="1" ref="N55" ca="1">IFERROR(INDEX(DaftarPembeli,SMALL(IF(OrderIDList=$M$2,ROW(DaftarPembeli)-ROW(PartsData!E$2)+1),ROWS(PartsData!E$2:'PartsData'!E55))),"")</f>
        <v/>
      </c>
      <c r="O55" t="str">
        <f ca="1">IF(N55="","",COUNTIF(ListCariPembeli,"&lt;="&amp;$N55))</f>
        <v/>
      </c>
      <c r="P55" t="str">
        <f ca="1">IF(O55="","",INDEX(ListCariPembeli,MATCH(ROWS($O$2:$O55),$O$2:$O$201,0)))</f>
        <v/>
      </c>
      <c r="T55" s="77" t="str">
        <f t="array" aca="1" ref="T55" ca="1">IFERROR(INDEX(DaftarPembeli,SMALL(IF(OrderIDList=$S$2,ROW(DaftarPembeli)-ROW(PartsData!E$2)+1),ROWS(PartsData!E$2:'PartsData'!E55))),"")</f>
        <v/>
      </c>
      <c r="U55" s="77" t="str">
        <f ca="1">IF(T55="","",COUNTIF(ListNamaPembeli,"&lt;="&amp;$T55))</f>
        <v/>
      </c>
      <c r="V55" s="77" t="str">
        <f ca="1">IF(U55="","",INDEX(ListNamaPembeli,MATCH(ROWS($U$2:$U55),$U$2:$U$201,0)))</f>
        <v/>
      </c>
      <c r="Y55" s="77" t="str">
        <f t="array" aca="1" ref="Y55" ca="1">IFERROR(INDEX(RekapPembeli,SMALL(IF(RekapKontak=$X$2,ROW(RekapPembeli)-ROW(DataPemesanan!F$2)+1),ROWS(DataPemesanan!F$2:'DataPemesanan'!F55))),"")</f>
        <v/>
      </c>
      <c r="Z55" s="77" t="str">
        <f ca="1">IF(Y55="","",COUNTIF(DataRekapPembeli,"&lt;="&amp;$Y55))</f>
        <v/>
      </c>
      <c r="AA55" s="77" t="str">
        <f ca="1">IF(Z55="","",INDEX(DataRekapPembeli,MATCH(ROWS($Z$2:$Z55),$Z$2:$Z$201,0)))</f>
        <v/>
      </c>
    </row>
    <row r="56" spans="10:27" ht="18" customHeight="1">
      <c r="J56" t="str">
        <f t="array" aca="1" ref="J56" ca="1">IFERROR(INDEX(DaftarPembeli,SMALL(IF(OrderIDList=$I$2,ROW(DaftarPembeli)-ROW(PartsData!E$2)+1),ROWS(PartsData!E$2:'PartsData'!E56))),"")</f>
        <v/>
      </c>
      <c r="K56" t="str">
        <f ca="1">IF(J56="","",COUNTIF(ListPembeli,"&lt;="&amp;$J56))</f>
        <v/>
      </c>
      <c r="L56" t="str">
        <f ca="1">IF(K56="","",INDEX(ListPembeli,MATCH(ROWS($K$2:$K56),$K$2:$K$101,0)))</f>
        <v/>
      </c>
      <c r="N56" s="77" t="str">
        <f t="array" aca="1" ref="N56" ca="1">IFERROR(INDEX(DaftarPembeli,SMALL(IF(OrderIDList=$M$2,ROW(DaftarPembeli)-ROW(PartsData!E$2)+1),ROWS(PartsData!E$2:'PartsData'!E56))),"")</f>
        <v/>
      </c>
      <c r="O56" t="str">
        <f ca="1">IF(N56="","",COUNTIF(ListCariPembeli,"&lt;="&amp;$N56))</f>
        <v/>
      </c>
      <c r="P56" t="str">
        <f ca="1">IF(O56="","",INDEX(ListCariPembeli,MATCH(ROWS($O$2:$O56),$O$2:$O$201,0)))</f>
        <v/>
      </c>
      <c r="T56" s="77" t="str">
        <f t="array" aca="1" ref="T56" ca="1">IFERROR(INDEX(DaftarPembeli,SMALL(IF(OrderIDList=$S$2,ROW(DaftarPembeli)-ROW(PartsData!E$2)+1),ROWS(PartsData!E$2:'PartsData'!E56))),"")</f>
        <v/>
      </c>
      <c r="U56" s="77" t="str">
        <f ca="1">IF(T56="","",COUNTIF(ListNamaPembeli,"&lt;="&amp;$T56))</f>
        <v/>
      </c>
      <c r="V56" s="77" t="str">
        <f ca="1">IF(U56="","",INDEX(ListNamaPembeli,MATCH(ROWS($U$2:$U56),$U$2:$U$201,0)))</f>
        <v/>
      </c>
      <c r="Y56" s="77" t="str">
        <f t="array" aca="1" ref="Y56" ca="1">IFERROR(INDEX(RekapPembeli,SMALL(IF(RekapKontak=$X$2,ROW(RekapPembeli)-ROW(DataPemesanan!F$2)+1),ROWS(DataPemesanan!F$2:'DataPemesanan'!F56))),"")</f>
        <v/>
      </c>
      <c r="Z56" s="77" t="str">
        <f ca="1">IF(Y56="","",COUNTIF(DataRekapPembeli,"&lt;="&amp;$Y56))</f>
        <v/>
      </c>
      <c r="AA56" s="77" t="str">
        <f ca="1">IF(Z56="","",INDEX(DataRekapPembeli,MATCH(ROWS($Z$2:$Z56),$Z$2:$Z$201,0)))</f>
        <v/>
      </c>
    </row>
    <row r="57" spans="10:27" ht="18" customHeight="1">
      <c r="J57" t="str">
        <f t="array" aca="1" ref="J57" ca="1">IFERROR(INDEX(DaftarPembeli,SMALL(IF(OrderIDList=$I$2,ROW(DaftarPembeli)-ROW(PartsData!E$2)+1),ROWS(PartsData!E$2:'PartsData'!E57))),"")</f>
        <v/>
      </c>
      <c r="K57" t="str">
        <f ca="1">IF(J57="","",COUNTIF(ListPembeli,"&lt;="&amp;$J57))</f>
        <v/>
      </c>
      <c r="L57" t="str">
        <f ca="1">IF(K57="","",INDEX(ListPembeli,MATCH(ROWS($K$2:$K57),$K$2:$K$101,0)))</f>
        <v/>
      </c>
      <c r="N57" s="77" t="str">
        <f t="array" aca="1" ref="N57" ca="1">IFERROR(INDEX(DaftarPembeli,SMALL(IF(OrderIDList=$M$2,ROW(DaftarPembeli)-ROW(PartsData!E$2)+1),ROWS(PartsData!E$2:'PartsData'!E57))),"")</f>
        <v/>
      </c>
      <c r="O57" t="str">
        <f ca="1">IF(N57="","",COUNTIF(ListCariPembeli,"&lt;="&amp;$N57))</f>
        <v/>
      </c>
      <c r="P57" t="str">
        <f ca="1">IF(O57="","",INDEX(ListCariPembeli,MATCH(ROWS($O$2:$O57),$O$2:$O$201,0)))</f>
        <v/>
      </c>
      <c r="T57" s="77" t="str">
        <f t="array" aca="1" ref="T57" ca="1">IFERROR(INDEX(DaftarPembeli,SMALL(IF(OrderIDList=$S$2,ROW(DaftarPembeli)-ROW(PartsData!E$2)+1),ROWS(PartsData!E$2:'PartsData'!E57))),"")</f>
        <v/>
      </c>
      <c r="U57" s="77" t="str">
        <f ca="1">IF(T57="","",COUNTIF(ListNamaPembeli,"&lt;="&amp;$T57))</f>
        <v/>
      </c>
      <c r="V57" s="77" t="str">
        <f ca="1">IF(U57="","",INDEX(ListNamaPembeli,MATCH(ROWS($U$2:$U57),$U$2:$U$201,0)))</f>
        <v/>
      </c>
      <c r="Y57" s="77" t="str">
        <f t="array" aca="1" ref="Y57" ca="1">IFERROR(INDEX(RekapPembeli,SMALL(IF(RekapKontak=$X$2,ROW(RekapPembeli)-ROW(DataPemesanan!F$2)+1),ROWS(DataPemesanan!F$2:'DataPemesanan'!F57))),"")</f>
        <v/>
      </c>
      <c r="Z57" s="77" t="str">
        <f ca="1">IF(Y57="","",COUNTIF(DataRekapPembeli,"&lt;="&amp;$Y57))</f>
        <v/>
      </c>
      <c r="AA57" s="77" t="str">
        <f ca="1">IF(Z57="","",INDEX(DataRekapPembeli,MATCH(ROWS($Z$2:$Z57),$Z$2:$Z$201,0)))</f>
        <v/>
      </c>
    </row>
    <row r="58" spans="10:27" ht="18" customHeight="1">
      <c r="J58" t="str">
        <f t="array" aca="1" ref="J58" ca="1">IFERROR(INDEX(DaftarPembeli,SMALL(IF(OrderIDList=$I$2,ROW(DaftarPembeli)-ROW(PartsData!E$2)+1),ROWS(PartsData!E$2:'PartsData'!E58))),"")</f>
        <v/>
      </c>
      <c r="K58" t="str">
        <f ca="1">IF(J58="","",COUNTIF(ListPembeli,"&lt;="&amp;$J58))</f>
        <v/>
      </c>
      <c r="L58" t="str">
        <f ca="1">IF(K58="","",INDEX(ListPembeli,MATCH(ROWS($K$2:$K58),$K$2:$K$101,0)))</f>
        <v/>
      </c>
      <c r="N58" s="77" t="str">
        <f t="array" aca="1" ref="N58" ca="1">IFERROR(INDEX(DaftarPembeli,SMALL(IF(OrderIDList=$M$2,ROW(DaftarPembeli)-ROW(PartsData!E$2)+1),ROWS(PartsData!E$2:'PartsData'!E58))),"")</f>
        <v/>
      </c>
      <c r="O58" t="str">
        <f ca="1">IF(N58="","",COUNTIF(ListCariPembeli,"&lt;="&amp;$N58))</f>
        <v/>
      </c>
      <c r="P58" t="str">
        <f ca="1">IF(O58="","",INDEX(ListCariPembeli,MATCH(ROWS($O$2:$O58),$O$2:$O$201,0)))</f>
        <v/>
      </c>
      <c r="T58" s="77" t="str">
        <f t="array" aca="1" ref="T58" ca="1">IFERROR(INDEX(DaftarPembeli,SMALL(IF(OrderIDList=$S$2,ROW(DaftarPembeli)-ROW(PartsData!E$2)+1),ROWS(PartsData!E$2:'PartsData'!E58))),"")</f>
        <v/>
      </c>
      <c r="U58" s="77" t="str">
        <f ca="1">IF(T58="","",COUNTIF(ListNamaPembeli,"&lt;="&amp;$T58))</f>
        <v/>
      </c>
      <c r="V58" s="77" t="str">
        <f ca="1">IF(U58="","",INDEX(ListNamaPembeli,MATCH(ROWS($U$2:$U58),$U$2:$U$201,0)))</f>
        <v/>
      </c>
      <c r="Y58" s="77" t="str">
        <f t="array" aca="1" ref="Y58" ca="1">IFERROR(INDEX(RekapPembeli,SMALL(IF(RekapKontak=$X$2,ROW(RekapPembeli)-ROW(DataPemesanan!F$2)+1),ROWS(DataPemesanan!F$2:'DataPemesanan'!F58))),"")</f>
        <v/>
      </c>
      <c r="Z58" s="77" t="str">
        <f ca="1">IF(Y58="","",COUNTIF(DataRekapPembeli,"&lt;="&amp;$Y58))</f>
        <v/>
      </c>
      <c r="AA58" s="77" t="str">
        <f ca="1">IF(Z58="","",INDEX(DataRekapPembeli,MATCH(ROWS($Z$2:$Z58),$Z$2:$Z$201,0)))</f>
        <v/>
      </c>
    </row>
    <row r="59" spans="10:27" ht="18" customHeight="1">
      <c r="J59" t="str">
        <f t="array" aca="1" ref="J59" ca="1">IFERROR(INDEX(DaftarPembeli,SMALL(IF(OrderIDList=$I$2,ROW(DaftarPembeli)-ROW(PartsData!E$2)+1),ROWS(PartsData!E$2:'PartsData'!E59))),"")</f>
        <v/>
      </c>
      <c r="K59" t="str">
        <f ca="1">IF(J59="","",COUNTIF(ListPembeli,"&lt;="&amp;$J59))</f>
        <v/>
      </c>
      <c r="L59" t="str">
        <f ca="1">IF(K59="","",INDEX(ListPembeli,MATCH(ROWS($K$2:$K59),$K$2:$K$101,0)))</f>
        <v/>
      </c>
      <c r="N59" s="77" t="str">
        <f t="array" aca="1" ref="N59" ca="1">IFERROR(INDEX(DaftarPembeli,SMALL(IF(OrderIDList=$M$2,ROW(DaftarPembeli)-ROW(PartsData!E$2)+1),ROWS(PartsData!E$2:'PartsData'!E59))),"")</f>
        <v/>
      </c>
      <c r="O59" t="str">
        <f ca="1">IF(N59="","",COUNTIF(ListCariPembeli,"&lt;="&amp;$N59))</f>
        <v/>
      </c>
      <c r="P59" t="str">
        <f ca="1">IF(O59="","",INDEX(ListCariPembeli,MATCH(ROWS($O$2:$O59),$O$2:$O$201,0)))</f>
        <v/>
      </c>
      <c r="T59" s="77" t="str">
        <f t="array" aca="1" ref="T59" ca="1">IFERROR(INDEX(DaftarPembeli,SMALL(IF(OrderIDList=$S$2,ROW(DaftarPembeli)-ROW(PartsData!E$2)+1),ROWS(PartsData!E$2:'PartsData'!E59))),"")</f>
        <v/>
      </c>
      <c r="U59" s="77" t="str">
        <f ca="1">IF(T59="","",COUNTIF(ListNamaPembeli,"&lt;="&amp;$T59))</f>
        <v/>
      </c>
      <c r="V59" s="77" t="str">
        <f ca="1">IF(U59="","",INDEX(ListNamaPembeli,MATCH(ROWS($U$2:$U59),$U$2:$U$201,0)))</f>
        <v/>
      </c>
      <c r="Y59" s="77" t="str">
        <f t="array" aca="1" ref="Y59" ca="1">IFERROR(INDEX(RekapPembeli,SMALL(IF(RekapKontak=$X$2,ROW(RekapPembeli)-ROW(DataPemesanan!F$2)+1),ROWS(DataPemesanan!F$2:'DataPemesanan'!F59))),"")</f>
        <v/>
      </c>
      <c r="Z59" s="77" t="str">
        <f ca="1">IF(Y59="","",COUNTIF(DataRekapPembeli,"&lt;="&amp;$Y59))</f>
        <v/>
      </c>
      <c r="AA59" s="77" t="str">
        <f ca="1">IF(Z59="","",INDEX(DataRekapPembeli,MATCH(ROWS($Z$2:$Z59),$Z$2:$Z$201,0)))</f>
        <v/>
      </c>
    </row>
    <row r="60" spans="10:27" ht="18" customHeight="1">
      <c r="J60" t="str">
        <f t="array" aca="1" ref="J60" ca="1">IFERROR(INDEX(DaftarPembeli,SMALL(IF(OrderIDList=$I$2,ROW(DaftarPembeli)-ROW(PartsData!E$2)+1),ROWS(PartsData!E$2:'PartsData'!E60))),"")</f>
        <v/>
      </c>
      <c r="K60" t="str">
        <f ca="1">IF(J60="","",COUNTIF(ListPembeli,"&lt;="&amp;$J60))</f>
        <v/>
      </c>
      <c r="L60" t="str">
        <f ca="1">IF(K60="","",INDEX(ListPembeli,MATCH(ROWS($K$2:$K60),$K$2:$K$101,0)))</f>
        <v/>
      </c>
      <c r="N60" s="77" t="str">
        <f t="array" aca="1" ref="N60" ca="1">IFERROR(INDEX(DaftarPembeli,SMALL(IF(OrderIDList=$M$2,ROW(DaftarPembeli)-ROW(PartsData!E$2)+1),ROWS(PartsData!E$2:'PartsData'!E60))),"")</f>
        <v/>
      </c>
      <c r="O60" t="str">
        <f ca="1">IF(N60="","",COUNTIF(ListCariPembeli,"&lt;="&amp;$N60))</f>
        <v/>
      </c>
      <c r="P60" t="str">
        <f ca="1">IF(O60="","",INDEX(ListCariPembeli,MATCH(ROWS($O$2:$O60),$O$2:$O$201,0)))</f>
        <v/>
      </c>
      <c r="T60" s="77" t="str">
        <f t="array" aca="1" ref="T60" ca="1">IFERROR(INDEX(DaftarPembeli,SMALL(IF(OrderIDList=$S$2,ROW(DaftarPembeli)-ROW(PartsData!E$2)+1),ROWS(PartsData!E$2:'PartsData'!E60))),"")</f>
        <v/>
      </c>
      <c r="U60" s="77" t="str">
        <f ca="1">IF(T60="","",COUNTIF(ListNamaPembeli,"&lt;="&amp;$T60))</f>
        <v/>
      </c>
      <c r="V60" s="77" t="str">
        <f ca="1">IF(U60="","",INDEX(ListNamaPembeli,MATCH(ROWS($U$2:$U60),$U$2:$U$201,0)))</f>
        <v/>
      </c>
      <c r="Y60" s="77" t="str">
        <f t="array" aca="1" ref="Y60" ca="1">IFERROR(INDEX(RekapPembeli,SMALL(IF(RekapKontak=$X$2,ROW(RekapPembeli)-ROW(DataPemesanan!F$2)+1),ROWS(DataPemesanan!F$2:'DataPemesanan'!F60))),"")</f>
        <v/>
      </c>
      <c r="Z60" s="77" t="str">
        <f ca="1">IF(Y60="","",COUNTIF(DataRekapPembeli,"&lt;="&amp;$Y60))</f>
        <v/>
      </c>
      <c r="AA60" s="77" t="str">
        <f ca="1">IF(Z60="","",INDEX(DataRekapPembeli,MATCH(ROWS($Z$2:$Z60),$Z$2:$Z$201,0)))</f>
        <v/>
      </c>
    </row>
    <row r="61" spans="10:27" ht="18" customHeight="1">
      <c r="J61" t="str">
        <f t="array" aca="1" ref="J61" ca="1">IFERROR(INDEX(DaftarPembeli,SMALL(IF(OrderIDList=$I$2,ROW(DaftarPembeli)-ROW(PartsData!E$2)+1),ROWS(PartsData!E$2:'PartsData'!E61))),"")</f>
        <v/>
      </c>
      <c r="K61" t="str">
        <f ca="1">IF(J61="","",COUNTIF(ListPembeli,"&lt;="&amp;$J61))</f>
        <v/>
      </c>
      <c r="L61" t="str">
        <f ca="1">IF(K61="","",INDEX(ListPembeli,MATCH(ROWS($K$2:$K61),$K$2:$K$101,0)))</f>
        <v/>
      </c>
      <c r="N61" s="77" t="str">
        <f t="array" aca="1" ref="N61" ca="1">IFERROR(INDEX(DaftarPembeli,SMALL(IF(OrderIDList=$M$2,ROW(DaftarPembeli)-ROW(PartsData!E$2)+1),ROWS(PartsData!E$2:'PartsData'!E61))),"")</f>
        <v/>
      </c>
      <c r="O61" t="str">
        <f ca="1">IF(N61="","",COUNTIF(ListCariPembeli,"&lt;="&amp;$N61))</f>
        <v/>
      </c>
      <c r="P61" t="str">
        <f ca="1">IF(O61="","",INDEX(ListCariPembeli,MATCH(ROWS($O$2:$O61),$O$2:$O$201,0)))</f>
        <v/>
      </c>
      <c r="T61" s="77" t="str">
        <f t="array" aca="1" ref="T61" ca="1">IFERROR(INDEX(DaftarPembeli,SMALL(IF(OrderIDList=$S$2,ROW(DaftarPembeli)-ROW(PartsData!E$2)+1),ROWS(PartsData!E$2:'PartsData'!E61))),"")</f>
        <v/>
      </c>
      <c r="U61" s="77" t="str">
        <f ca="1">IF(T61="","",COUNTIF(ListNamaPembeli,"&lt;="&amp;$T61))</f>
        <v/>
      </c>
      <c r="V61" s="77" t="str">
        <f ca="1">IF(U61="","",INDEX(ListNamaPembeli,MATCH(ROWS($U$2:$U61),$U$2:$U$201,0)))</f>
        <v/>
      </c>
      <c r="Y61" s="77" t="str">
        <f t="array" aca="1" ref="Y61" ca="1">IFERROR(INDEX(RekapPembeli,SMALL(IF(RekapKontak=$X$2,ROW(RekapPembeli)-ROW(DataPemesanan!F$2)+1),ROWS(DataPemesanan!F$2:'DataPemesanan'!F61))),"")</f>
        <v/>
      </c>
      <c r="Z61" s="77" t="str">
        <f ca="1">IF(Y61="","",COUNTIF(DataRekapPembeli,"&lt;="&amp;$Y61))</f>
        <v/>
      </c>
      <c r="AA61" s="77" t="str">
        <f ca="1">IF(Z61="","",INDEX(DataRekapPembeli,MATCH(ROWS($Z$2:$Z61),$Z$2:$Z$201,0)))</f>
        <v/>
      </c>
    </row>
    <row r="62" spans="10:27" ht="18" customHeight="1">
      <c r="J62" t="str">
        <f t="array" aca="1" ref="J62" ca="1">IFERROR(INDEX(DaftarPembeli,SMALL(IF(OrderIDList=$I$2,ROW(DaftarPembeli)-ROW(PartsData!E$2)+1),ROWS(PartsData!E$2:'PartsData'!E62))),"")</f>
        <v/>
      </c>
      <c r="K62" t="str">
        <f ca="1">IF(J62="","",COUNTIF(ListPembeli,"&lt;="&amp;$J62))</f>
        <v/>
      </c>
      <c r="L62" t="str">
        <f ca="1">IF(K62="","",INDEX(ListPembeli,MATCH(ROWS($K$2:$K62),$K$2:$K$101,0)))</f>
        <v/>
      </c>
      <c r="N62" s="77" t="str">
        <f t="array" aca="1" ref="N62" ca="1">IFERROR(INDEX(DaftarPembeli,SMALL(IF(OrderIDList=$M$2,ROW(DaftarPembeli)-ROW(PartsData!E$2)+1),ROWS(PartsData!E$2:'PartsData'!E62))),"")</f>
        <v/>
      </c>
      <c r="O62" t="str">
        <f ca="1">IF(N62="","",COUNTIF(ListCariPembeli,"&lt;="&amp;$N62))</f>
        <v/>
      </c>
      <c r="P62" t="str">
        <f ca="1">IF(O62="","",INDEX(ListCariPembeli,MATCH(ROWS($O$2:$O62),$O$2:$O$201,0)))</f>
        <v/>
      </c>
      <c r="T62" s="77" t="str">
        <f t="array" aca="1" ref="T62" ca="1">IFERROR(INDEX(DaftarPembeli,SMALL(IF(OrderIDList=$S$2,ROW(DaftarPembeli)-ROW(PartsData!E$2)+1),ROWS(PartsData!E$2:'PartsData'!E62))),"")</f>
        <v/>
      </c>
      <c r="U62" s="77" t="str">
        <f ca="1">IF(T62="","",COUNTIF(ListNamaPembeli,"&lt;="&amp;$T62))</f>
        <v/>
      </c>
      <c r="V62" s="77" t="str">
        <f ca="1">IF(U62="","",INDEX(ListNamaPembeli,MATCH(ROWS($U$2:$U62),$U$2:$U$201,0)))</f>
        <v/>
      </c>
      <c r="Y62" s="77" t="str">
        <f t="array" aca="1" ref="Y62" ca="1">IFERROR(INDEX(RekapPembeli,SMALL(IF(RekapKontak=$X$2,ROW(RekapPembeli)-ROW(DataPemesanan!F$2)+1),ROWS(DataPemesanan!F$2:'DataPemesanan'!F62))),"")</f>
        <v/>
      </c>
      <c r="Z62" s="77" t="str">
        <f ca="1">IF(Y62="","",COUNTIF(DataRekapPembeli,"&lt;="&amp;$Y62))</f>
        <v/>
      </c>
      <c r="AA62" s="77" t="str">
        <f ca="1">IF(Z62="","",INDEX(DataRekapPembeli,MATCH(ROWS($Z$2:$Z62),$Z$2:$Z$201,0)))</f>
        <v/>
      </c>
    </row>
    <row r="63" spans="10:27" ht="18" customHeight="1">
      <c r="J63" t="str">
        <f t="array" aca="1" ref="J63" ca="1">IFERROR(INDEX(DaftarPembeli,SMALL(IF(OrderIDList=$I$2,ROW(DaftarPembeli)-ROW(PartsData!E$2)+1),ROWS(PartsData!E$2:'PartsData'!E63))),"")</f>
        <v/>
      </c>
      <c r="K63" t="str">
        <f ca="1">IF(J63="","",COUNTIF(ListPembeli,"&lt;="&amp;$J63))</f>
        <v/>
      </c>
      <c r="L63" t="str">
        <f ca="1">IF(K63="","",INDEX(ListPembeli,MATCH(ROWS($K$2:$K63),$K$2:$K$101,0)))</f>
        <v/>
      </c>
      <c r="N63" s="77" t="str">
        <f t="array" aca="1" ref="N63" ca="1">IFERROR(INDEX(DaftarPembeli,SMALL(IF(OrderIDList=$M$2,ROW(DaftarPembeli)-ROW(PartsData!E$2)+1),ROWS(PartsData!E$2:'PartsData'!E63))),"")</f>
        <v/>
      </c>
      <c r="O63" t="str">
        <f ca="1">IF(N63="","",COUNTIF(ListCariPembeli,"&lt;="&amp;$N63))</f>
        <v/>
      </c>
      <c r="P63" t="str">
        <f ca="1">IF(O63="","",INDEX(ListCariPembeli,MATCH(ROWS($O$2:$O63),$O$2:$O$201,0)))</f>
        <v/>
      </c>
      <c r="T63" s="77" t="str">
        <f t="array" aca="1" ref="T63" ca="1">IFERROR(INDEX(DaftarPembeli,SMALL(IF(OrderIDList=$S$2,ROW(DaftarPembeli)-ROW(PartsData!E$2)+1),ROWS(PartsData!E$2:'PartsData'!E63))),"")</f>
        <v/>
      </c>
      <c r="U63" s="77" t="str">
        <f ca="1">IF(T63="","",COUNTIF(ListNamaPembeli,"&lt;="&amp;$T63))</f>
        <v/>
      </c>
      <c r="V63" s="77" t="str">
        <f ca="1">IF(U63="","",INDEX(ListNamaPembeli,MATCH(ROWS($U$2:$U63),$U$2:$U$201,0)))</f>
        <v/>
      </c>
      <c r="Y63" s="77" t="str">
        <f t="array" aca="1" ref="Y63" ca="1">IFERROR(INDEX(RekapPembeli,SMALL(IF(RekapKontak=$X$2,ROW(RekapPembeli)-ROW(DataPemesanan!F$2)+1),ROWS(DataPemesanan!F$2:'DataPemesanan'!F63))),"")</f>
        <v/>
      </c>
      <c r="Z63" s="77" t="str">
        <f ca="1">IF(Y63="","",COUNTIF(DataRekapPembeli,"&lt;="&amp;$Y63))</f>
        <v/>
      </c>
      <c r="AA63" s="77" t="str">
        <f ca="1">IF(Z63="","",INDEX(DataRekapPembeli,MATCH(ROWS($Z$2:$Z63),$Z$2:$Z$201,0)))</f>
        <v/>
      </c>
    </row>
    <row r="64" spans="10:27" ht="18" customHeight="1">
      <c r="J64" t="str">
        <f t="array" aca="1" ref="J64" ca="1">IFERROR(INDEX(DaftarPembeli,SMALL(IF(OrderIDList=$I$2,ROW(DaftarPembeli)-ROW(PartsData!E$2)+1),ROWS(PartsData!E$2:'PartsData'!E64))),"")</f>
        <v/>
      </c>
      <c r="K64" t="str">
        <f ca="1">IF(J64="","",COUNTIF(ListPembeli,"&lt;="&amp;$J64))</f>
        <v/>
      </c>
      <c r="L64" t="str">
        <f ca="1">IF(K64="","",INDEX(ListPembeli,MATCH(ROWS($K$2:$K64),$K$2:$K$101,0)))</f>
        <v/>
      </c>
      <c r="N64" s="77" t="str">
        <f t="array" aca="1" ref="N64" ca="1">IFERROR(INDEX(DaftarPembeli,SMALL(IF(OrderIDList=$M$2,ROW(DaftarPembeli)-ROW(PartsData!E$2)+1),ROWS(PartsData!E$2:'PartsData'!E64))),"")</f>
        <v/>
      </c>
      <c r="O64" t="str">
        <f ca="1">IF(N64="","",COUNTIF(ListCariPembeli,"&lt;="&amp;$N64))</f>
        <v/>
      </c>
      <c r="P64" t="str">
        <f ca="1">IF(O64="","",INDEX(ListCariPembeli,MATCH(ROWS($O$2:$O64),$O$2:$O$201,0)))</f>
        <v/>
      </c>
      <c r="T64" s="77" t="str">
        <f t="array" aca="1" ref="T64" ca="1">IFERROR(INDEX(DaftarPembeli,SMALL(IF(OrderIDList=$S$2,ROW(DaftarPembeli)-ROW(PartsData!E$2)+1),ROWS(PartsData!E$2:'PartsData'!E64))),"")</f>
        <v/>
      </c>
      <c r="U64" s="77" t="str">
        <f ca="1">IF(T64="","",COUNTIF(ListNamaPembeli,"&lt;="&amp;$T64))</f>
        <v/>
      </c>
      <c r="V64" s="77" t="str">
        <f ca="1">IF(U64="","",INDEX(ListNamaPembeli,MATCH(ROWS($U$2:$U64),$U$2:$U$201,0)))</f>
        <v/>
      </c>
      <c r="Y64" s="77" t="str">
        <f t="array" aca="1" ref="Y64" ca="1">IFERROR(INDEX(RekapPembeli,SMALL(IF(RekapKontak=$X$2,ROW(RekapPembeli)-ROW(DataPemesanan!F$2)+1),ROWS(DataPemesanan!F$2:'DataPemesanan'!F64))),"")</f>
        <v/>
      </c>
      <c r="Z64" s="77" t="str">
        <f ca="1">IF(Y64="","",COUNTIF(DataRekapPembeli,"&lt;="&amp;$Y64))</f>
        <v/>
      </c>
      <c r="AA64" s="77" t="str">
        <f ca="1">IF(Z64="","",INDEX(DataRekapPembeli,MATCH(ROWS($Z$2:$Z64),$Z$2:$Z$201,0)))</f>
        <v/>
      </c>
    </row>
    <row r="65" spans="10:27" ht="18" customHeight="1">
      <c r="J65" t="str">
        <f t="array" aca="1" ref="J65" ca="1">IFERROR(INDEX(DaftarPembeli,SMALL(IF(OrderIDList=$I$2,ROW(DaftarPembeli)-ROW(PartsData!E$2)+1),ROWS(PartsData!E$2:'PartsData'!E65))),"")</f>
        <v/>
      </c>
      <c r="K65" t="str">
        <f ca="1">IF(J65="","",COUNTIF(ListPembeli,"&lt;="&amp;$J65))</f>
        <v/>
      </c>
      <c r="L65" t="str">
        <f ca="1">IF(K65="","",INDEX(ListPembeli,MATCH(ROWS($K$2:$K65),$K$2:$K$101,0)))</f>
        <v/>
      </c>
      <c r="N65" s="77" t="str">
        <f t="array" aca="1" ref="N65" ca="1">IFERROR(INDEX(DaftarPembeli,SMALL(IF(OrderIDList=$M$2,ROW(DaftarPembeli)-ROW(PartsData!E$2)+1),ROWS(PartsData!E$2:'PartsData'!E65))),"")</f>
        <v/>
      </c>
      <c r="O65" t="str">
        <f ca="1">IF(N65="","",COUNTIF(ListCariPembeli,"&lt;="&amp;$N65))</f>
        <v/>
      </c>
      <c r="P65" t="str">
        <f ca="1">IF(O65="","",INDEX(ListCariPembeli,MATCH(ROWS($O$2:$O65),$O$2:$O$201,0)))</f>
        <v/>
      </c>
      <c r="T65" s="77" t="str">
        <f t="array" aca="1" ref="T65" ca="1">IFERROR(INDEX(DaftarPembeli,SMALL(IF(OrderIDList=$S$2,ROW(DaftarPembeli)-ROW(PartsData!E$2)+1),ROWS(PartsData!E$2:'PartsData'!E65))),"")</f>
        <v/>
      </c>
      <c r="U65" s="77" t="str">
        <f ca="1">IF(T65="","",COUNTIF(ListNamaPembeli,"&lt;="&amp;$T65))</f>
        <v/>
      </c>
      <c r="V65" s="77" t="str">
        <f ca="1">IF(U65="","",INDEX(ListNamaPembeli,MATCH(ROWS($U$2:$U65),$U$2:$U$201,0)))</f>
        <v/>
      </c>
      <c r="Y65" s="77" t="str">
        <f t="array" aca="1" ref="Y65" ca="1">IFERROR(INDEX(RekapPembeli,SMALL(IF(RekapKontak=$X$2,ROW(RekapPembeli)-ROW(DataPemesanan!F$2)+1),ROWS(DataPemesanan!F$2:'DataPemesanan'!F65))),"")</f>
        <v/>
      </c>
      <c r="Z65" s="77" t="str">
        <f ca="1">IF(Y65="","",COUNTIF(DataRekapPembeli,"&lt;="&amp;$Y65))</f>
        <v/>
      </c>
      <c r="AA65" s="77" t="str">
        <f ca="1">IF(Z65="","",INDEX(DataRekapPembeli,MATCH(ROWS($Z$2:$Z65),$Z$2:$Z$201,0)))</f>
        <v/>
      </c>
    </row>
    <row r="66" spans="10:27" ht="18" customHeight="1">
      <c r="J66" t="str">
        <f t="array" aca="1" ref="J66" ca="1">IFERROR(INDEX(DaftarPembeli,SMALL(IF(OrderIDList=$I$2,ROW(DaftarPembeli)-ROW(PartsData!E$2)+1),ROWS(PartsData!E$2:'PartsData'!E66))),"")</f>
        <v/>
      </c>
      <c r="K66" t="str">
        <f ca="1">IF(J66="","",COUNTIF(ListPembeli,"&lt;="&amp;$J66))</f>
        <v/>
      </c>
      <c r="L66" t="str">
        <f ca="1">IF(K66="","",INDEX(ListPembeli,MATCH(ROWS($K$2:$K66),$K$2:$K$101,0)))</f>
        <v/>
      </c>
      <c r="N66" s="77" t="str">
        <f t="array" aca="1" ref="N66" ca="1">IFERROR(INDEX(DaftarPembeli,SMALL(IF(OrderIDList=$M$2,ROW(DaftarPembeli)-ROW(PartsData!E$2)+1),ROWS(PartsData!E$2:'PartsData'!E66))),"")</f>
        <v/>
      </c>
      <c r="O66" t="str">
        <f ca="1">IF(N66="","",COUNTIF(ListCariPembeli,"&lt;="&amp;$N66))</f>
        <v/>
      </c>
      <c r="P66" t="str">
        <f ca="1">IF(O66="","",INDEX(ListCariPembeli,MATCH(ROWS($O$2:$O66),$O$2:$O$201,0)))</f>
        <v/>
      </c>
      <c r="T66" s="77" t="str">
        <f t="array" aca="1" ref="T66" ca="1">IFERROR(INDEX(DaftarPembeli,SMALL(IF(OrderIDList=$S$2,ROW(DaftarPembeli)-ROW(PartsData!E$2)+1),ROWS(PartsData!E$2:'PartsData'!E66))),"")</f>
        <v/>
      </c>
      <c r="U66" s="77" t="str">
        <f ca="1">IF(T66="","",COUNTIF(ListNamaPembeli,"&lt;="&amp;$T66))</f>
        <v/>
      </c>
      <c r="V66" s="77" t="str">
        <f ca="1">IF(U66="","",INDEX(ListNamaPembeli,MATCH(ROWS($U$2:$U66),$U$2:$U$201,0)))</f>
        <v/>
      </c>
      <c r="Y66" s="77" t="str">
        <f t="array" aca="1" ref="Y66" ca="1">IFERROR(INDEX(RekapPembeli,SMALL(IF(RekapKontak=$X$2,ROW(RekapPembeli)-ROW(DataPemesanan!F$2)+1),ROWS(DataPemesanan!F$2:'DataPemesanan'!F66))),"")</f>
        <v/>
      </c>
      <c r="Z66" s="77" t="str">
        <f ca="1">IF(Y66="","",COUNTIF(DataRekapPembeli,"&lt;="&amp;$Y66))</f>
        <v/>
      </c>
      <c r="AA66" s="77" t="str">
        <f ca="1">IF(Z66="","",INDEX(DataRekapPembeli,MATCH(ROWS($Z$2:$Z66),$Z$2:$Z$201,0)))</f>
        <v/>
      </c>
    </row>
    <row r="67" spans="10:27">
      <c r="J67" t="str">
        <f t="array" aca="1" ref="J67" ca="1">IFERROR(INDEX(DaftarPembeli,SMALL(IF(OrderIDList=$I$2,ROW(DaftarPembeli)-ROW(PartsData!E$2)+1),ROWS(PartsData!E$2:'PartsData'!E67))),"")</f>
        <v/>
      </c>
      <c r="K67" t="str">
        <f ca="1">IF(J67="","",COUNTIF(ListPembeli,"&lt;="&amp;$J67))</f>
        <v/>
      </c>
      <c r="L67" t="str">
        <f ca="1">IF(K67="","",INDEX(ListPembeli,MATCH(ROWS($K$2:$K67),$K$2:$K$101,0)))</f>
        <v/>
      </c>
      <c r="N67" s="77" t="str">
        <f t="array" aca="1" ref="N67" ca="1">IFERROR(INDEX(DaftarPembeli,SMALL(IF(OrderIDList=$M$2,ROW(DaftarPembeli)-ROW(PartsData!E$2)+1),ROWS(PartsData!E$2:'PartsData'!E67))),"")</f>
        <v/>
      </c>
      <c r="O67" t="str">
        <f ca="1">IF(N67="","",COUNTIF(ListCariPembeli,"&lt;="&amp;$N67))</f>
        <v/>
      </c>
      <c r="P67" t="str">
        <f ca="1">IF(O67="","",INDEX(ListCariPembeli,MATCH(ROWS($O$2:$O67),$O$2:$O$201,0)))</f>
        <v/>
      </c>
      <c r="T67" s="77" t="str">
        <f t="array" aca="1" ref="T67" ca="1">IFERROR(INDEX(DaftarPembeli,SMALL(IF(OrderIDList=$S$2,ROW(DaftarPembeli)-ROW(PartsData!E$2)+1),ROWS(PartsData!E$2:'PartsData'!E67))),"")</f>
        <v/>
      </c>
      <c r="U67" s="77" t="str">
        <f ca="1">IF(T67="","",COUNTIF(ListNamaPembeli,"&lt;="&amp;$T67))</f>
        <v/>
      </c>
      <c r="V67" s="77" t="str">
        <f ca="1">IF(U67="","",INDEX(ListNamaPembeli,MATCH(ROWS($U$2:$U67),$U$2:$U$201,0)))</f>
        <v/>
      </c>
      <c r="Y67" s="77" t="str">
        <f t="array" aca="1" ref="Y67" ca="1">IFERROR(INDEX(RekapPembeli,SMALL(IF(RekapKontak=$X$2,ROW(RekapPembeli)-ROW(DataPemesanan!F$2)+1),ROWS(DataPemesanan!F$2:'DataPemesanan'!F67))),"")</f>
        <v/>
      </c>
      <c r="Z67" s="77" t="str">
        <f ca="1">IF(Y67="","",COUNTIF(DataRekapPembeli,"&lt;="&amp;$Y67))</f>
        <v/>
      </c>
      <c r="AA67" s="77" t="str">
        <f ca="1">IF(Z67="","",INDEX(DataRekapPembeli,MATCH(ROWS($Z$2:$Z67),$Z$2:$Z$201,0)))</f>
        <v/>
      </c>
    </row>
    <row r="68" spans="10:27">
      <c r="J68" t="str">
        <f t="array" aca="1" ref="J68" ca="1">IFERROR(INDEX(DaftarPembeli,SMALL(IF(OrderIDList=$I$2,ROW(DaftarPembeli)-ROW(PartsData!E$2)+1),ROWS(PartsData!E$2:'PartsData'!E68))),"")</f>
        <v/>
      </c>
      <c r="K68" t="str">
        <f ca="1">IF(J68="","",COUNTIF(ListPembeli,"&lt;="&amp;$J68))</f>
        <v/>
      </c>
      <c r="L68" t="str">
        <f ca="1">IF(K68="","",INDEX(ListPembeli,MATCH(ROWS($K$2:$K68),$K$2:$K$101,0)))</f>
        <v/>
      </c>
      <c r="N68" s="77" t="str">
        <f t="array" aca="1" ref="N68" ca="1">IFERROR(INDEX(DaftarPembeli,SMALL(IF(OrderIDList=$M$2,ROW(DaftarPembeli)-ROW(PartsData!E$2)+1),ROWS(PartsData!E$2:'PartsData'!E68))),"")</f>
        <v/>
      </c>
      <c r="O68" t="str">
        <f ca="1">IF(N68="","",COUNTIF(ListCariPembeli,"&lt;="&amp;$N68))</f>
        <v/>
      </c>
      <c r="P68" t="str">
        <f ca="1">IF(O68="","",INDEX(ListCariPembeli,MATCH(ROWS($O$2:$O68),$O$2:$O$201,0)))</f>
        <v/>
      </c>
      <c r="T68" s="77" t="str">
        <f t="array" aca="1" ref="T68" ca="1">IFERROR(INDEX(DaftarPembeli,SMALL(IF(OrderIDList=$S$2,ROW(DaftarPembeli)-ROW(PartsData!E$2)+1),ROWS(PartsData!E$2:'PartsData'!E68))),"")</f>
        <v/>
      </c>
      <c r="U68" s="77" t="str">
        <f ca="1">IF(T68="","",COUNTIF(ListNamaPembeli,"&lt;="&amp;$T68))</f>
        <v/>
      </c>
      <c r="V68" s="77" t="str">
        <f ca="1">IF(U68="","",INDEX(ListNamaPembeli,MATCH(ROWS($U$2:$U68),$U$2:$U$201,0)))</f>
        <v/>
      </c>
      <c r="Y68" s="77" t="str">
        <f t="array" aca="1" ref="Y68" ca="1">IFERROR(INDEX(RekapPembeli,SMALL(IF(RekapKontak=$X$2,ROW(RekapPembeli)-ROW(DataPemesanan!F$2)+1),ROWS(DataPemesanan!F$2:'DataPemesanan'!F68))),"")</f>
        <v/>
      </c>
      <c r="Z68" s="77" t="str">
        <f ca="1">IF(Y68="","",COUNTIF(DataRekapPembeli,"&lt;="&amp;$Y68))</f>
        <v/>
      </c>
      <c r="AA68" s="77" t="str">
        <f ca="1">IF(Z68="","",INDEX(DataRekapPembeli,MATCH(ROWS($Z$2:$Z68),$Z$2:$Z$201,0)))</f>
        <v/>
      </c>
    </row>
    <row r="69" spans="10:27">
      <c r="J69" t="str">
        <f t="array" aca="1" ref="J69" ca="1">IFERROR(INDEX(DaftarPembeli,SMALL(IF(OrderIDList=$I$2,ROW(DaftarPembeli)-ROW(PartsData!E$2)+1),ROWS(PartsData!E$2:'PartsData'!E69))),"")</f>
        <v/>
      </c>
      <c r="K69" t="str">
        <f ca="1">IF(J69="","",COUNTIF(ListPembeli,"&lt;="&amp;$J69))</f>
        <v/>
      </c>
      <c r="L69" t="str">
        <f ca="1">IF(K69="","",INDEX(ListPembeli,MATCH(ROWS($K$2:$K69),$K$2:$K$101,0)))</f>
        <v/>
      </c>
      <c r="N69" s="77" t="str">
        <f t="array" aca="1" ref="N69" ca="1">IFERROR(INDEX(DaftarPembeli,SMALL(IF(OrderIDList=$M$2,ROW(DaftarPembeli)-ROW(PartsData!E$2)+1),ROWS(PartsData!E$2:'PartsData'!E69))),"")</f>
        <v/>
      </c>
      <c r="O69" t="str">
        <f ca="1">IF(N69="","",COUNTIF(ListCariPembeli,"&lt;="&amp;$N69))</f>
        <v/>
      </c>
      <c r="P69" t="str">
        <f ca="1">IF(O69="","",INDEX(ListCariPembeli,MATCH(ROWS($O$2:$O69),$O$2:$O$201,0)))</f>
        <v/>
      </c>
      <c r="T69" s="77" t="str">
        <f t="array" aca="1" ref="T69" ca="1">IFERROR(INDEX(DaftarPembeli,SMALL(IF(OrderIDList=$S$2,ROW(DaftarPembeli)-ROW(PartsData!E$2)+1),ROWS(PartsData!E$2:'PartsData'!E69))),"")</f>
        <v/>
      </c>
      <c r="U69" s="77" t="str">
        <f ca="1">IF(T69="","",COUNTIF(ListNamaPembeli,"&lt;="&amp;$T69))</f>
        <v/>
      </c>
      <c r="V69" s="77" t="str">
        <f ca="1">IF(U69="","",INDEX(ListNamaPembeli,MATCH(ROWS($U$2:$U69),$U$2:$U$201,0)))</f>
        <v/>
      </c>
      <c r="Y69" s="77" t="str">
        <f t="array" aca="1" ref="Y69" ca="1">IFERROR(INDEX(RekapPembeli,SMALL(IF(RekapKontak=$X$2,ROW(RekapPembeli)-ROW(DataPemesanan!F$2)+1),ROWS(DataPemesanan!F$2:'DataPemesanan'!F69))),"")</f>
        <v/>
      </c>
      <c r="Z69" s="77" t="str">
        <f ca="1">IF(Y69="","",COUNTIF(DataRekapPembeli,"&lt;="&amp;$Y69))</f>
        <v/>
      </c>
      <c r="AA69" s="77" t="str">
        <f ca="1">IF(Z69="","",INDEX(DataRekapPembeli,MATCH(ROWS($Z$2:$Z69),$Z$2:$Z$201,0)))</f>
        <v/>
      </c>
    </row>
    <row r="70" spans="10:27">
      <c r="J70" t="str">
        <f t="array" aca="1" ref="J70" ca="1">IFERROR(INDEX(DaftarPembeli,SMALL(IF(OrderIDList=$I$2,ROW(DaftarPembeli)-ROW(PartsData!E$2)+1),ROWS(PartsData!E$2:'PartsData'!E70))),"")</f>
        <v/>
      </c>
      <c r="K70" t="str">
        <f ca="1">IF(J70="","",COUNTIF(ListPembeli,"&lt;="&amp;$J70))</f>
        <v/>
      </c>
      <c r="L70" t="str">
        <f ca="1">IF(K70="","",INDEX(ListPembeli,MATCH(ROWS($K$2:$K70),$K$2:$K$101,0)))</f>
        <v/>
      </c>
      <c r="N70" s="77" t="str">
        <f t="array" aca="1" ref="N70" ca="1">IFERROR(INDEX(DaftarPembeli,SMALL(IF(OrderIDList=$M$2,ROW(DaftarPembeli)-ROW(PartsData!E$2)+1),ROWS(PartsData!E$2:'PartsData'!E70))),"")</f>
        <v/>
      </c>
      <c r="O70" t="str">
        <f ca="1">IF(N70="","",COUNTIF(ListCariPembeli,"&lt;="&amp;$N70))</f>
        <v/>
      </c>
      <c r="P70" t="str">
        <f ca="1">IF(O70="","",INDEX(ListCariPembeli,MATCH(ROWS($O$2:$O70),$O$2:$O$201,0)))</f>
        <v/>
      </c>
      <c r="T70" s="77" t="str">
        <f t="array" aca="1" ref="T70" ca="1">IFERROR(INDEX(DaftarPembeli,SMALL(IF(OrderIDList=$S$2,ROW(DaftarPembeli)-ROW(PartsData!E$2)+1),ROWS(PartsData!E$2:'PartsData'!E70))),"")</f>
        <v/>
      </c>
      <c r="U70" s="77" t="str">
        <f ca="1">IF(T70="","",COUNTIF(ListNamaPembeli,"&lt;="&amp;$T70))</f>
        <v/>
      </c>
      <c r="V70" s="77" t="str">
        <f ca="1">IF(U70="","",INDEX(ListNamaPembeli,MATCH(ROWS($U$2:$U70),$U$2:$U$201,0)))</f>
        <v/>
      </c>
      <c r="Y70" s="77" t="str">
        <f t="array" aca="1" ref="Y70" ca="1">IFERROR(INDEX(RekapPembeli,SMALL(IF(RekapKontak=$X$2,ROW(RekapPembeli)-ROW(DataPemesanan!F$2)+1),ROWS(DataPemesanan!F$2:'DataPemesanan'!F70))),"")</f>
        <v/>
      </c>
      <c r="Z70" s="77" t="str">
        <f ca="1">IF(Y70="","",COUNTIF(DataRekapPembeli,"&lt;="&amp;$Y70))</f>
        <v/>
      </c>
      <c r="AA70" s="77" t="str">
        <f ca="1">IF(Z70="","",INDEX(DataRekapPembeli,MATCH(ROWS($Z$2:$Z70),$Z$2:$Z$201,0)))</f>
        <v/>
      </c>
    </row>
    <row r="71" spans="10:27">
      <c r="J71" t="str">
        <f t="array" aca="1" ref="J71" ca="1">IFERROR(INDEX(DaftarPembeli,SMALL(IF(OrderIDList=$I$2,ROW(DaftarPembeli)-ROW(PartsData!E$2)+1),ROWS(PartsData!E$2:'PartsData'!E71))),"")</f>
        <v/>
      </c>
      <c r="K71" t="str">
        <f ca="1">IF(J71="","",COUNTIF(ListPembeli,"&lt;="&amp;$J71))</f>
        <v/>
      </c>
      <c r="L71" t="str">
        <f ca="1">IF(K71="","",INDEX(ListPembeli,MATCH(ROWS($K$2:$K71),$K$2:$K$101,0)))</f>
        <v/>
      </c>
      <c r="N71" s="77" t="str">
        <f t="array" aca="1" ref="N71" ca="1">IFERROR(INDEX(DaftarPembeli,SMALL(IF(OrderIDList=$M$2,ROW(DaftarPembeli)-ROW(PartsData!E$2)+1),ROWS(PartsData!E$2:'PartsData'!E71))),"")</f>
        <v/>
      </c>
      <c r="O71" t="str">
        <f ca="1">IF(N71="","",COUNTIF(ListCariPembeli,"&lt;="&amp;$N71))</f>
        <v/>
      </c>
      <c r="P71" t="str">
        <f ca="1">IF(O71="","",INDEX(ListCariPembeli,MATCH(ROWS($O$2:$O71),$O$2:$O$201,0)))</f>
        <v/>
      </c>
      <c r="T71" s="77" t="str">
        <f t="array" aca="1" ref="T71" ca="1">IFERROR(INDEX(DaftarPembeli,SMALL(IF(OrderIDList=$S$2,ROW(DaftarPembeli)-ROW(PartsData!E$2)+1),ROWS(PartsData!E$2:'PartsData'!E71))),"")</f>
        <v/>
      </c>
      <c r="U71" s="77" t="str">
        <f ca="1">IF(T71="","",COUNTIF(ListNamaPembeli,"&lt;="&amp;$T71))</f>
        <v/>
      </c>
      <c r="V71" s="77" t="str">
        <f ca="1">IF(U71="","",INDEX(ListNamaPembeli,MATCH(ROWS($U$2:$U71),$U$2:$U$201,0)))</f>
        <v/>
      </c>
      <c r="Y71" s="77" t="str">
        <f t="array" aca="1" ref="Y71" ca="1">IFERROR(INDEX(RekapPembeli,SMALL(IF(RekapKontak=$X$2,ROW(RekapPembeli)-ROW(DataPemesanan!F$2)+1),ROWS(DataPemesanan!F$2:'DataPemesanan'!F71))),"")</f>
        <v/>
      </c>
      <c r="Z71" s="77" t="str">
        <f ca="1">IF(Y71="","",COUNTIF(DataRekapPembeli,"&lt;="&amp;$Y71))</f>
        <v/>
      </c>
      <c r="AA71" s="77" t="str">
        <f ca="1">IF(Z71="","",INDEX(DataRekapPembeli,MATCH(ROWS($Z$2:$Z71),$Z$2:$Z$201,0)))</f>
        <v/>
      </c>
    </row>
    <row r="72" spans="10:27">
      <c r="J72" t="str">
        <f t="array" aca="1" ref="J72" ca="1">IFERROR(INDEX(DaftarPembeli,SMALL(IF(OrderIDList=$I$2,ROW(DaftarPembeli)-ROW(PartsData!E$2)+1),ROWS(PartsData!E$2:'PartsData'!E72))),"")</f>
        <v/>
      </c>
      <c r="K72" t="str">
        <f ca="1">IF(J72="","",COUNTIF(ListPembeli,"&lt;="&amp;$J72))</f>
        <v/>
      </c>
      <c r="L72" t="str">
        <f ca="1">IF(K72="","",INDEX(ListPembeli,MATCH(ROWS($K$2:$K72),$K$2:$K$101,0)))</f>
        <v/>
      </c>
      <c r="N72" s="77" t="str">
        <f t="array" aca="1" ref="N72" ca="1">IFERROR(INDEX(DaftarPembeli,SMALL(IF(OrderIDList=$M$2,ROW(DaftarPembeli)-ROW(PartsData!E$2)+1),ROWS(PartsData!E$2:'PartsData'!E72))),"")</f>
        <v/>
      </c>
      <c r="O72" t="str">
        <f ca="1">IF(N72="","",COUNTIF(ListCariPembeli,"&lt;="&amp;$N72))</f>
        <v/>
      </c>
      <c r="P72" t="str">
        <f ca="1">IF(O72="","",INDEX(ListCariPembeli,MATCH(ROWS($O$2:$O72),$O$2:$O$201,0)))</f>
        <v/>
      </c>
      <c r="T72" s="77" t="str">
        <f t="array" aca="1" ref="T72" ca="1">IFERROR(INDEX(DaftarPembeli,SMALL(IF(OrderIDList=$S$2,ROW(DaftarPembeli)-ROW(PartsData!E$2)+1),ROWS(PartsData!E$2:'PartsData'!E72))),"")</f>
        <v/>
      </c>
      <c r="U72" s="77" t="str">
        <f ca="1">IF(T72="","",COUNTIF(ListNamaPembeli,"&lt;="&amp;$T72))</f>
        <v/>
      </c>
      <c r="V72" s="77" t="str">
        <f ca="1">IF(U72="","",INDEX(ListNamaPembeli,MATCH(ROWS($U$2:$U72),$U$2:$U$201,0)))</f>
        <v/>
      </c>
      <c r="Y72" s="77" t="str">
        <f t="array" aca="1" ref="Y72" ca="1">IFERROR(INDEX(RekapPembeli,SMALL(IF(RekapKontak=$X$2,ROW(RekapPembeli)-ROW(DataPemesanan!F$2)+1),ROWS(DataPemesanan!F$2:'DataPemesanan'!F72))),"")</f>
        <v/>
      </c>
      <c r="Z72" s="77" t="str">
        <f ca="1">IF(Y72="","",COUNTIF(DataRekapPembeli,"&lt;="&amp;$Y72))</f>
        <v/>
      </c>
      <c r="AA72" s="77" t="str">
        <f ca="1">IF(Z72="","",INDEX(DataRekapPembeli,MATCH(ROWS($Z$2:$Z72),$Z$2:$Z$201,0)))</f>
        <v/>
      </c>
    </row>
    <row r="73" spans="10:27">
      <c r="J73" t="str">
        <f t="array" aca="1" ref="J73" ca="1">IFERROR(INDEX(DaftarPembeli,SMALL(IF(OrderIDList=$I$2,ROW(DaftarPembeli)-ROW(PartsData!E$2)+1),ROWS(PartsData!E$2:'PartsData'!E73))),"")</f>
        <v/>
      </c>
      <c r="K73" t="str">
        <f ca="1">IF(J73="","",COUNTIF(ListPembeli,"&lt;="&amp;$J73))</f>
        <v/>
      </c>
      <c r="L73" t="str">
        <f ca="1">IF(K73="","",INDEX(ListPembeli,MATCH(ROWS($K$2:$K73),$K$2:$K$101,0)))</f>
        <v/>
      </c>
      <c r="N73" s="77" t="str">
        <f t="array" aca="1" ref="N73" ca="1">IFERROR(INDEX(DaftarPembeli,SMALL(IF(OrderIDList=$M$2,ROW(DaftarPembeli)-ROW(PartsData!E$2)+1),ROWS(PartsData!E$2:'PartsData'!E73))),"")</f>
        <v/>
      </c>
      <c r="O73" t="str">
        <f ca="1">IF(N73="","",COUNTIF(ListCariPembeli,"&lt;="&amp;$N73))</f>
        <v/>
      </c>
      <c r="P73" t="str">
        <f ca="1">IF(O73="","",INDEX(ListCariPembeli,MATCH(ROWS($O$2:$O73),$O$2:$O$201,0)))</f>
        <v/>
      </c>
      <c r="T73" s="77" t="str">
        <f t="array" aca="1" ref="T73" ca="1">IFERROR(INDEX(DaftarPembeli,SMALL(IF(OrderIDList=$S$2,ROW(DaftarPembeli)-ROW(PartsData!E$2)+1),ROWS(PartsData!E$2:'PartsData'!E73))),"")</f>
        <v/>
      </c>
      <c r="U73" s="77" t="str">
        <f ca="1">IF(T73="","",COUNTIF(ListNamaPembeli,"&lt;="&amp;$T73))</f>
        <v/>
      </c>
      <c r="V73" s="77" t="str">
        <f ca="1">IF(U73="","",INDEX(ListNamaPembeli,MATCH(ROWS($U$2:$U73),$U$2:$U$201,0)))</f>
        <v/>
      </c>
      <c r="Y73" s="77" t="str">
        <f t="array" aca="1" ref="Y73" ca="1">IFERROR(INDEX(RekapPembeli,SMALL(IF(RekapKontak=$X$2,ROW(RekapPembeli)-ROW(DataPemesanan!F$2)+1),ROWS(DataPemesanan!F$2:'DataPemesanan'!F73))),"")</f>
        <v/>
      </c>
      <c r="Z73" s="77" t="str">
        <f ca="1">IF(Y73="","",COUNTIF(DataRekapPembeli,"&lt;="&amp;$Y73))</f>
        <v/>
      </c>
      <c r="AA73" s="77" t="str">
        <f ca="1">IF(Z73="","",INDEX(DataRekapPembeli,MATCH(ROWS($Z$2:$Z73),$Z$2:$Z$201,0)))</f>
        <v/>
      </c>
    </row>
    <row r="74" spans="10:27">
      <c r="J74" t="str">
        <f t="array" aca="1" ref="J74" ca="1">IFERROR(INDEX(DaftarPembeli,SMALL(IF(OrderIDList=$I$2,ROW(DaftarPembeli)-ROW(PartsData!E$2)+1),ROWS(PartsData!E$2:'PartsData'!E74))),"")</f>
        <v/>
      </c>
      <c r="K74" t="str">
        <f ca="1">IF(J74="","",COUNTIF(ListPembeli,"&lt;="&amp;$J74))</f>
        <v/>
      </c>
      <c r="L74" t="str">
        <f ca="1">IF(K74="","",INDEX(ListPembeli,MATCH(ROWS($K$2:$K74),$K$2:$K$101,0)))</f>
        <v/>
      </c>
      <c r="N74" s="77" t="str">
        <f t="array" aca="1" ref="N74" ca="1">IFERROR(INDEX(DaftarPembeli,SMALL(IF(OrderIDList=$M$2,ROW(DaftarPembeli)-ROW(PartsData!E$2)+1),ROWS(PartsData!E$2:'PartsData'!E74))),"")</f>
        <v/>
      </c>
      <c r="O74" t="str">
        <f ca="1">IF(N74="","",COUNTIF(ListCariPembeli,"&lt;="&amp;$N74))</f>
        <v/>
      </c>
      <c r="P74" t="str">
        <f ca="1">IF(O74="","",INDEX(ListCariPembeli,MATCH(ROWS($O$2:$O74),$O$2:$O$201,0)))</f>
        <v/>
      </c>
      <c r="T74" s="77" t="str">
        <f t="array" aca="1" ref="T74" ca="1">IFERROR(INDEX(DaftarPembeli,SMALL(IF(OrderIDList=$S$2,ROW(DaftarPembeli)-ROW(PartsData!E$2)+1),ROWS(PartsData!E$2:'PartsData'!E74))),"")</f>
        <v/>
      </c>
      <c r="U74" s="77" t="str">
        <f ca="1">IF(T74="","",COUNTIF(ListNamaPembeli,"&lt;="&amp;$T74))</f>
        <v/>
      </c>
      <c r="V74" s="77" t="str">
        <f ca="1">IF(U74="","",INDEX(ListNamaPembeli,MATCH(ROWS($U$2:$U74),$U$2:$U$201,0)))</f>
        <v/>
      </c>
      <c r="Y74" s="77" t="str">
        <f t="array" aca="1" ref="Y74" ca="1">IFERROR(INDEX(RekapPembeli,SMALL(IF(RekapKontak=$X$2,ROW(RekapPembeli)-ROW(DataPemesanan!F$2)+1),ROWS(DataPemesanan!F$2:'DataPemesanan'!F74))),"")</f>
        <v/>
      </c>
      <c r="Z74" s="77" t="str">
        <f ca="1">IF(Y74="","",COUNTIF(DataRekapPembeli,"&lt;="&amp;$Y74))</f>
        <v/>
      </c>
      <c r="AA74" s="77" t="str">
        <f ca="1">IF(Z74="","",INDEX(DataRekapPembeli,MATCH(ROWS($Z$2:$Z74),$Z$2:$Z$201,0)))</f>
        <v/>
      </c>
    </row>
    <row r="75" spans="10:27">
      <c r="J75" t="str">
        <f t="array" aca="1" ref="J75" ca="1">IFERROR(INDEX(DaftarPembeli,SMALL(IF(OrderIDList=$I$2,ROW(DaftarPembeli)-ROW(PartsData!E$2)+1),ROWS(PartsData!E$2:'PartsData'!E75))),"")</f>
        <v/>
      </c>
      <c r="K75" t="str">
        <f ca="1">IF(J75="","",COUNTIF(ListPembeli,"&lt;="&amp;$J75))</f>
        <v/>
      </c>
      <c r="L75" t="str">
        <f ca="1">IF(K75="","",INDEX(ListPembeli,MATCH(ROWS($K$2:$K75),$K$2:$K$101,0)))</f>
        <v/>
      </c>
      <c r="N75" s="77" t="str">
        <f t="array" aca="1" ref="N75" ca="1">IFERROR(INDEX(DaftarPembeli,SMALL(IF(OrderIDList=$M$2,ROW(DaftarPembeli)-ROW(PartsData!E$2)+1),ROWS(PartsData!E$2:'PartsData'!E75))),"")</f>
        <v/>
      </c>
      <c r="O75" t="str">
        <f ca="1">IF(N75="","",COUNTIF(ListCariPembeli,"&lt;="&amp;$N75))</f>
        <v/>
      </c>
      <c r="P75" t="str">
        <f ca="1">IF(O75="","",INDEX(ListCariPembeli,MATCH(ROWS($O$2:$O75),$O$2:$O$201,0)))</f>
        <v/>
      </c>
      <c r="T75" s="77" t="str">
        <f t="array" aca="1" ref="T75" ca="1">IFERROR(INDEX(DaftarPembeli,SMALL(IF(OrderIDList=$S$2,ROW(DaftarPembeli)-ROW(PartsData!E$2)+1),ROWS(PartsData!E$2:'PartsData'!E75))),"")</f>
        <v/>
      </c>
      <c r="U75" s="77" t="str">
        <f ca="1">IF(T75="","",COUNTIF(ListNamaPembeli,"&lt;="&amp;$T75))</f>
        <v/>
      </c>
      <c r="V75" s="77" t="str">
        <f ca="1">IF(U75="","",INDEX(ListNamaPembeli,MATCH(ROWS($U$2:$U75),$U$2:$U$201,0)))</f>
        <v/>
      </c>
      <c r="Y75" s="77" t="str">
        <f t="array" aca="1" ref="Y75" ca="1">IFERROR(INDEX(RekapPembeli,SMALL(IF(RekapKontak=$X$2,ROW(RekapPembeli)-ROW(DataPemesanan!F$2)+1),ROWS(DataPemesanan!F$2:'DataPemesanan'!F75))),"")</f>
        <v/>
      </c>
      <c r="Z75" s="77" t="str">
        <f ca="1">IF(Y75="","",COUNTIF(DataRekapPembeli,"&lt;="&amp;$Y75))</f>
        <v/>
      </c>
      <c r="AA75" s="77" t="str">
        <f ca="1">IF(Z75="","",INDEX(DataRekapPembeli,MATCH(ROWS($Z$2:$Z75),$Z$2:$Z$201,0)))</f>
        <v/>
      </c>
    </row>
    <row r="76" spans="10:27">
      <c r="J76" t="str">
        <f t="array" aca="1" ref="J76" ca="1">IFERROR(INDEX(DaftarPembeli,SMALL(IF(OrderIDList=$I$2,ROW(DaftarPembeli)-ROW(PartsData!E$2)+1),ROWS(PartsData!E$2:'PartsData'!E76))),"")</f>
        <v/>
      </c>
      <c r="K76" t="str">
        <f ca="1">IF(J76="","",COUNTIF(ListPembeli,"&lt;="&amp;$J76))</f>
        <v/>
      </c>
      <c r="L76" t="str">
        <f ca="1">IF(K76="","",INDEX(ListPembeli,MATCH(ROWS($K$2:$K76),$K$2:$K$101,0)))</f>
        <v/>
      </c>
      <c r="N76" s="77" t="str">
        <f t="array" aca="1" ref="N76" ca="1">IFERROR(INDEX(DaftarPembeli,SMALL(IF(OrderIDList=$M$2,ROW(DaftarPembeli)-ROW(PartsData!E$2)+1),ROWS(PartsData!E$2:'PartsData'!E76))),"")</f>
        <v/>
      </c>
      <c r="O76" t="str">
        <f ca="1">IF(N76="","",COUNTIF(ListCariPembeli,"&lt;="&amp;$N76))</f>
        <v/>
      </c>
      <c r="P76" t="str">
        <f ca="1">IF(O76="","",INDEX(ListCariPembeli,MATCH(ROWS($O$2:$O76),$O$2:$O$201,0)))</f>
        <v/>
      </c>
      <c r="T76" s="77" t="str">
        <f t="array" aca="1" ref="T76" ca="1">IFERROR(INDEX(DaftarPembeli,SMALL(IF(OrderIDList=$S$2,ROW(DaftarPembeli)-ROW(PartsData!E$2)+1),ROWS(PartsData!E$2:'PartsData'!E76))),"")</f>
        <v/>
      </c>
      <c r="U76" s="77" t="str">
        <f ca="1">IF(T76="","",COUNTIF(ListNamaPembeli,"&lt;="&amp;$T76))</f>
        <v/>
      </c>
      <c r="V76" s="77" t="str">
        <f ca="1">IF(U76="","",INDEX(ListNamaPembeli,MATCH(ROWS($U$2:$U76),$U$2:$U$201,0)))</f>
        <v/>
      </c>
      <c r="Y76" s="77" t="str">
        <f t="array" aca="1" ref="Y76" ca="1">IFERROR(INDEX(RekapPembeli,SMALL(IF(RekapKontak=$X$2,ROW(RekapPembeli)-ROW(DataPemesanan!F$2)+1),ROWS(DataPemesanan!F$2:'DataPemesanan'!F76))),"")</f>
        <v/>
      </c>
      <c r="Z76" s="77" t="str">
        <f ca="1">IF(Y76="","",COUNTIF(DataRekapPembeli,"&lt;="&amp;$Y76))</f>
        <v/>
      </c>
      <c r="AA76" s="77" t="str">
        <f ca="1">IF(Z76="","",INDEX(DataRekapPembeli,MATCH(ROWS($Z$2:$Z76),$Z$2:$Z$201,0)))</f>
        <v/>
      </c>
    </row>
    <row r="77" spans="10:27">
      <c r="J77" t="str">
        <f t="array" aca="1" ref="J77" ca="1">IFERROR(INDEX(DaftarPembeli,SMALL(IF(OrderIDList=$I$2,ROW(DaftarPembeli)-ROW(PartsData!E$2)+1),ROWS(PartsData!E$2:'PartsData'!E77))),"")</f>
        <v/>
      </c>
      <c r="K77" t="str">
        <f ca="1">IF(J77="","",COUNTIF(ListPembeli,"&lt;="&amp;$J77))</f>
        <v/>
      </c>
      <c r="L77" t="str">
        <f ca="1">IF(K77="","",INDEX(ListPembeli,MATCH(ROWS($K$2:$K77),$K$2:$K$101,0)))</f>
        <v/>
      </c>
      <c r="N77" s="77" t="str">
        <f t="array" aca="1" ref="N77" ca="1">IFERROR(INDEX(DaftarPembeli,SMALL(IF(OrderIDList=$M$2,ROW(DaftarPembeli)-ROW(PartsData!E$2)+1),ROWS(PartsData!E$2:'PartsData'!E77))),"")</f>
        <v/>
      </c>
      <c r="O77" t="str">
        <f ca="1">IF(N77="","",COUNTIF(ListCariPembeli,"&lt;="&amp;$N77))</f>
        <v/>
      </c>
      <c r="P77" t="str">
        <f ca="1">IF(O77="","",INDEX(ListCariPembeli,MATCH(ROWS($O$2:$O77),$O$2:$O$201,0)))</f>
        <v/>
      </c>
      <c r="T77" s="77" t="str">
        <f t="array" aca="1" ref="T77" ca="1">IFERROR(INDEX(DaftarPembeli,SMALL(IF(OrderIDList=$S$2,ROW(DaftarPembeli)-ROW(PartsData!E$2)+1),ROWS(PartsData!E$2:'PartsData'!E77))),"")</f>
        <v/>
      </c>
      <c r="U77" s="77" t="str">
        <f ca="1">IF(T77="","",COUNTIF(ListNamaPembeli,"&lt;="&amp;$T77))</f>
        <v/>
      </c>
      <c r="V77" s="77" t="str">
        <f ca="1">IF(U77="","",INDEX(ListNamaPembeli,MATCH(ROWS($U$2:$U77),$U$2:$U$201,0)))</f>
        <v/>
      </c>
      <c r="Y77" s="77" t="str">
        <f t="array" aca="1" ref="Y77" ca="1">IFERROR(INDEX(RekapPembeli,SMALL(IF(RekapKontak=$X$2,ROW(RekapPembeli)-ROW(DataPemesanan!F$2)+1),ROWS(DataPemesanan!F$2:'DataPemesanan'!F77))),"")</f>
        <v/>
      </c>
      <c r="Z77" s="77" t="str">
        <f ca="1">IF(Y77="","",COUNTIF(DataRekapPembeli,"&lt;="&amp;$Y77))</f>
        <v/>
      </c>
      <c r="AA77" s="77" t="str">
        <f ca="1">IF(Z77="","",INDEX(DataRekapPembeli,MATCH(ROWS($Z$2:$Z77),$Z$2:$Z$201,0)))</f>
        <v/>
      </c>
    </row>
    <row r="78" spans="10:27">
      <c r="J78" t="str">
        <f t="array" aca="1" ref="J78" ca="1">IFERROR(INDEX(DaftarPembeli,SMALL(IF(OrderIDList=$I$2,ROW(DaftarPembeli)-ROW(PartsData!E$2)+1),ROWS(PartsData!E$2:'PartsData'!E78))),"")</f>
        <v/>
      </c>
      <c r="K78" t="str">
        <f ca="1">IF(J78="","",COUNTIF(ListPembeli,"&lt;="&amp;$J78))</f>
        <v/>
      </c>
      <c r="L78" t="str">
        <f ca="1">IF(K78="","",INDEX(ListPembeli,MATCH(ROWS($K$2:$K78),$K$2:$K$101,0)))</f>
        <v/>
      </c>
      <c r="N78" s="77" t="str">
        <f t="array" aca="1" ref="N78" ca="1">IFERROR(INDEX(DaftarPembeli,SMALL(IF(OrderIDList=$M$2,ROW(DaftarPembeli)-ROW(PartsData!E$2)+1),ROWS(PartsData!E$2:'PartsData'!E78))),"")</f>
        <v/>
      </c>
      <c r="O78" t="str">
        <f ca="1">IF(N78="","",COUNTIF(ListCariPembeli,"&lt;="&amp;$N78))</f>
        <v/>
      </c>
      <c r="P78" t="str">
        <f ca="1">IF(O78="","",INDEX(ListCariPembeli,MATCH(ROWS($O$2:$O78),$O$2:$O$201,0)))</f>
        <v/>
      </c>
      <c r="T78" s="77" t="str">
        <f t="array" aca="1" ref="T78" ca="1">IFERROR(INDEX(DaftarPembeli,SMALL(IF(OrderIDList=$S$2,ROW(DaftarPembeli)-ROW(PartsData!E$2)+1),ROWS(PartsData!E$2:'PartsData'!E78))),"")</f>
        <v/>
      </c>
      <c r="U78" s="77" t="str">
        <f ca="1">IF(T78="","",COUNTIF(ListNamaPembeli,"&lt;="&amp;$T78))</f>
        <v/>
      </c>
      <c r="V78" s="77" t="str">
        <f ca="1">IF(U78="","",INDEX(ListNamaPembeli,MATCH(ROWS($U$2:$U78),$U$2:$U$201,0)))</f>
        <v/>
      </c>
      <c r="Y78" s="77" t="str">
        <f t="array" aca="1" ref="Y78" ca="1">IFERROR(INDEX(RekapPembeli,SMALL(IF(RekapKontak=$X$2,ROW(RekapPembeli)-ROW(DataPemesanan!F$2)+1),ROWS(DataPemesanan!F$2:'DataPemesanan'!F78))),"")</f>
        <v/>
      </c>
      <c r="Z78" s="77" t="str">
        <f ca="1">IF(Y78="","",COUNTIF(DataRekapPembeli,"&lt;="&amp;$Y78))</f>
        <v/>
      </c>
      <c r="AA78" s="77" t="str">
        <f ca="1">IF(Z78="","",INDEX(DataRekapPembeli,MATCH(ROWS($Z$2:$Z78),$Z$2:$Z$201,0)))</f>
        <v/>
      </c>
    </row>
    <row r="79" spans="10:27">
      <c r="J79" t="str">
        <f t="array" aca="1" ref="J79" ca="1">IFERROR(INDEX(DaftarPembeli,SMALL(IF(OrderIDList=$I$2,ROW(DaftarPembeli)-ROW(PartsData!E$2)+1),ROWS(PartsData!E$2:'PartsData'!E79))),"")</f>
        <v/>
      </c>
      <c r="K79" t="str">
        <f ca="1">IF(J79="","",COUNTIF(ListPembeli,"&lt;="&amp;$J79))</f>
        <v/>
      </c>
      <c r="L79" t="str">
        <f ca="1">IF(K79="","",INDEX(ListPembeli,MATCH(ROWS($K$2:$K79),$K$2:$K$101,0)))</f>
        <v/>
      </c>
      <c r="N79" s="77" t="str">
        <f t="array" aca="1" ref="N79" ca="1">IFERROR(INDEX(DaftarPembeli,SMALL(IF(OrderIDList=$M$2,ROW(DaftarPembeli)-ROW(PartsData!E$2)+1),ROWS(PartsData!E$2:'PartsData'!E79))),"")</f>
        <v/>
      </c>
      <c r="O79" t="str">
        <f ca="1">IF(N79="","",COUNTIF(ListCariPembeli,"&lt;="&amp;$N79))</f>
        <v/>
      </c>
      <c r="P79" t="str">
        <f ca="1">IF(O79="","",INDEX(ListCariPembeli,MATCH(ROWS($O$2:$O79),$O$2:$O$201,0)))</f>
        <v/>
      </c>
      <c r="T79" s="77" t="str">
        <f t="array" aca="1" ref="T79" ca="1">IFERROR(INDEX(DaftarPembeli,SMALL(IF(OrderIDList=$S$2,ROW(DaftarPembeli)-ROW(PartsData!E$2)+1),ROWS(PartsData!E$2:'PartsData'!E79))),"")</f>
        <v/>
      </c>
      <c r="U79" s="77" t="str">
        <f ca="1">IF(T79="","",COUNTIF(ListNamaPembeli,"&lt;="&amp;$T79))</f>
        <v/>
      </c>
      <c r="V79" s="77" t="str">
        <f ca="1">IF(U79="","",INDEX(ListNamaPembeli,MATCH(ROWS($U$2:$U79),$U$2:$U$201,0)))</f>
        <v/>
      </c>
      <c r="Y79" s="77" t="str">
        <f t="array" aca="1" ref="Y79" ca="1">IFERROR(INDEX(RekapPembeli,SMALL(IF(RekapKontak=$X$2,ROW(RekapPembeli)-ROW(DataPemesanan!F$2)+1),ROWS(DataPemesanan!F$2:'DataPemesanan'!F79))),"")</f>
        <v/>
      </c>
      <c r="Z79" s="77" t="str">
        <f ca="1">IF(Y79="","",COUNTIF(DataRekapPembeli,"&lt;="&amp;$Y79))</f>
        <v/>
      </c>
      <c r="AA79" s="77" t="str">
        <f ca="1">IF(Z79="","",INDEX(DataRekapPembeli,MATCH(ROWS($Z$2:$Z79),$Z$2:$Z$201,0)))</f>
        <v/>
      </c>
    </row>
    <row r="80" spans="10:27">
      <c r="J80" t="str">
        <f t="array" aca="1" ref="J80" ca="1">IFERROR(INDEX(DaftarPembeli,SMALL(IF(OrderIDList=$I$2,ROW(DaftarPembeli)-ROW(PartsData!E$2)+1),ROWS(PartsData!E$2:'PartsData'!E80))),"")</f>
        <v/>
      </c>
      <c r="K80" t="str">
        <f ca="1">IF(J80="","",COUNTIF(ListPembeli,"&lt;="&amp;$J80))</f>
        <v/>
      </c>
      <c r="L80" t="str">
        <f ca="1">IF(K80="","",INDEX(ListPembeli,MATCH(ROWS($K$2:$K80),$K$2:$K$101,0)))</f>
        <v/>
      </c>
      <c r="N80" s="77" t="str">
        <f t="array" aca="1" ref="N80" ca="1">IFERROR(INDEX(DaftarPembeli,SMALL(IF(OrderIDList=$M$2,ROW(DaftarPembeli)-ROW(PartsData!E$2)+1),ROWS(PartsData!E$2:'PartsData'!E80))),"")</f>
        <v/>
      </c>
      <c r="O80" t="str">
        <f ca="1">IF(N80="","",COUNTIF(ListCariPembeli,"&lt;="&amp;$N80))</f>
        <v/>
      </c>
      <c r="P80" t="str">
        <f ca="1">IF(O80="","",INDEX(ListCariPembeli,MATCH(ROWS($O$2:$O80),$O$2:$O$201,0)))</f>
        <v/>
      </c>
      <c r="T80" s="77" t="str">
        <f t="array" aca="1" ref="T80" ca="1">IFERROR(INDEX(DaftarPembeli,SMALL(IF(OrderIDList=$S$2,ROW(DaftarPembeli)-ROW(PartsData!E$2)+1),ROWS(PartsData!E$2:'PartsData'!E80))),"")</f>
        <v/>
      </c>
      <c r="U80" s="77" t="str">
        <f ca="1">IF(T80="","",COUNTIF(ListNamaPembeli,"&lt;="&amp;$T80))</f>
        <v/>
      </c>
      <c r="V80" s="77" t="str">
        <f ca="1">IF(U80="","",INDEX(ListNamaPembeli,MATCH(ROWS($U$2:$U80),$U$2:$U$201,0)))</f>
        <v/>
      </c>
      <c r="Y80" s="77" t="str">
        <f t="array" aca="1" ref="Y80" ca="1">IFERROR(INDEX(RekapPembeli,SMALL(IF(RekapKontak=$X$2,ROW(RekapPembeli)-ROW(DataPemesanan!F$2)+1),ROWS(DataPemesanan!F$2:'DataPemesanan'!F80))),"")</f>
        <v/>
      </c>
      <c r="Z80" s="77" t="str">
        <f ca="1">IF(Y80="","",COUNTIF(DataRekapPembeli,"&lt;="&amp;$Y80))</f>
        <v/>
      </c>
      <c r="AA80" s="77" t="str">
        <f ca="1">IF(Z80="","",INDEX(DataRekapPembeli,MATCH(ROWS($Z$2:$Z80),$Z$2:$Z$201,0)))</f>
        <v/>
      </c>
    </row>
    <row r="81" spans="10:27">
      <c r="J81" t="str">
        <f t="array" aca="1" ref="J81" ca="1">IFERROR(INDEX(DaftarPembeli,SMALL(IF(OrderIDList=$I$2,ROW(DaftarPembeli)-ROW(PartsData!E$2)+1),ROWS(PartsData!E$2:'PartsData'!E81))),"")</f>
        <v/>
      </c>
      <c r="K81" t="str">
        <f ca="1">IF(J81="","",COUNTIF(ListPembeli,"&lt;="&amp;$J81))</f>
        <v/>
      </c>
      <c r="L81" t="str">
        <f ca="1">IF(K81="","",INDEX(ListPembeli,MATCH(ROWS($K$2:$K81),$K$2:$K$101,0)))</f>
        <v/>
      </c>
      <c r="N81" s="77" t="str">
        <f t="array" aca="1" ref="N81" ca="1">IFERROR(INDEX(DaftarPembeli,SMALL(IF(OrderIDList=$M$2,ROW(DaftarPembeli)-ROW(PartsData!E$2)+1),ROWS(PartsData!E$2:'PartsData'!E81))),"")</f>
        <v/>
      </c>
      <c r="O81" t="str">
        <f ca="1">IF(N81="","",COUNTIF(ListCariPembeli,"&lt;="&amp;$N81))</f>
        <v/>
      </c>
      <c r="P81" t="str">
        <f ca="1">IF(O81="","",INDEX(ListCariPembeli,MATCH(ROWS($O$2:$O81),$O$2:$O$201,0)))</f>
        <v/>
      </c>
      <c r="T81" s="77" t="str">
        <f t="array" aca="1" ref="T81" ca="1">IFERROR(INDEX(DaftarPembeli,SMALL(IF(OrderIDList=$S$2,ROW(DaftarPembeli)-ROW(PartsData!E$2)+1),ROWS(PartsData!E$2:'PartsData'!E81))),"")</f>
        <v/>
      </c>
      <c r="U81" s="77" t="str">
        <f ca="1">IF(T81="","",COUNTIF(ListNamaPembeli,"&lt;="&amp;$T81))</f>
        <v/>
      </c>
      <c r="V81" s="77" t="str">
        <f ca="1">IF(U81="","",INDEX(ListNamaPembeli,MATCH(ROWS($U$2:$U81),$U$2:$U$201,0)))</f>
        <v/>
      </c>
      <c r="Y81" s="77" t="str">
        <f t="array" aca="1" ref="Y81" ca="1">IFERROR(INDEX(RekapPembeli,SMALL(IF(RekapKontak=$X$2,ROW(RekapPembeli)-ROW(DataPemesanan!F$2)+1),ROWS(DataPemesanan!F$2:'DataPemesanan'!F81))),"")</f>
        <v/>
      </c>
      <c r="Z81" s="77" t="str">
        <f ca="1">IF(Y81="","",COUNTIF(DataRekapPembeli,"&lt;="&amp;$Y81))</f>
        <v/>
      </c>
      <c r="AA81" s="77" t="str">
        <f ca="1">IF(Z81="","",INDEX(DataRekapPembeli,MATCH(ROWS($Z$2:$Z81),$Z$2:$Z$201,0)))</f>
        <v/>
      </c>
    </row>
    <row r="82" spans="10:27">
      <c r="J82" t="str">
        <f t="array" aca="1" ref="J82" ca="1">IFERROR(INDEX(DaftarPembeli,SMALL(IF(OrderIDList=$I$2,ROW(DaftarPembeli)-ROW(PartsData!E$2)+1),ROWS(PartsData!E$2:'PartsData'!E82))),"")</f>
        <v/>
      </c>
      <c r="K82" t="str">
        <f ca="1">IF(J82="","",COUNTIF(ListPembeli,"&lt;="&amp;$J82))</f>
        <v/>
      </c>
      <c r="L82" t="str">
        <f ca="1">IF(K82="","",INDEX(ListPembeli,MATCH(ROWS($K$2:$K82),$K$2:$K$101,0)))</f>
        <v/>
      </c>
      <c r="N82" s="77" t="str">
        <f t="array" aca="1" ref="N82" ca="1">IFERROR(INDEX(DaftarPembeli,SMALL(IF(OrderIDList=$M$2,ROW(DaftarPembeli)-ROW(PartsData!E$2)+1),ROWS(PartsData!E$2:'PartsData'!E82))),"")</f>
        <v/>
      </c>
      <c r="O82" t="str">
        <f ca="1">IF(N82="","",COUNTIF(ListCariPembeli,"&lt;="&amp;$N82))</f>
        <v/>
      </c>
      <c r="P82" t="str">
        <f ca="1">IF(O82="","",INDEX(ListCariPembeli,MATCH(ROWS($O$2:$O82),$O$2:$O$201,0)))</f>
        <v/>
      </c>
      <c r="T82" s="77" t="str">
        <f t="array" aca="1" ref="T82" ca="1">IFERROR(INDEX(DaftarPembeli,SMALL(IF(OrderIDList=$S$2,ROW(DaftarPembeli)-ROW(PartsData!E$2)+1),ROWS(PartsData!E$2:'PartsData'!E82))),"")</f>
        <v/>
      </c>
      <c r="U82" s="77" t="str">
        <f ca="1">IF(T82="","",COUNTIF(ListNamaPembeli,"&lt;="&amp;$T82))</f>
        <v/>
      </c>
      <c r="V82" s="77" t="str">
        <f ca="1">IF(U82="","",INDEX(ListNamaPembeli,MATCH(ROWS($U$2:$U82),$U$2:$U$201,0)))</f>
        <v/>
      </c>
      <c r="Y82" s="77" t="str">
        <f t="array" aca="1" ref="Y82" ca="1">IFERROR(INDEX(RekapPembeli,SMALL(IF(RekapKontak=$X$2,ROW(RekapPembeli)-ROW(DataPemesanan!F$2)+1),ROWS(DataPemesanan!F$2:'DataPemesanan'!F82))),"")</f>
        <v/>
      </c>
      <c r="Z82" s="77" t="str">
        <f ca="1">IF(Y82="","",COUNTIF(DataRekapPembeli,"&lt;="&amp;$Y82))</f>
        <v/>
      </c>
      <c r="AA82" s="77" t="str">
        <f ca="1">IF(Z82="","",INDEX(DataRekapPembeli,MATCH(ROWS($Z$2:$Z82),$Z$2:$Z$201,0)))</f>
        <v/>
      </c>
    </row>
    <row r="83" spans="10:27">
      <c r="J83" t="str">
        <f t="array" aca="1" ref="J83" ca="1">IFERROR(INDEX(DaftarPembeli,SMALL(IF(OrderIDList=$I$2,ROW(DaftarPembeli)-ROW(PartsData!E$2)+1),ROWS(PartsData!E$2:'PartsData'!E83))),"")</f>
        <v/>
      </c>
      <c r="K83" t="str">
        <f ca="1">IF(J83="","",COUNTIF(ListPembeli,"&lt;="&amp;$J83))</f>
        <v/>
      </c>
      <c r="L83" t="str">
        <f ca="1">IF(K83="","",INDEX(ListPembeli,MATCH(ROWS($K$2:$K83),$K$2:$K$101,0)))</f>
        <v/>
      </c>
      <c r="N83" s="77" t="str">
        <f t="array" aca="1" ref="N83" ca="1">IFERROR(INDEX(DaftarPembeli,SMALL(IF(OrderIDList=$M$2,ROW(DaftarPembeli)-ROW(PartsData!E$2)+1),ROWS(PartsData!E$2:'PartsData'!E83))),"")</f>
        <v/>
      </c>
      <c r="O83" t="str">
        <f ca="1">IF(N83="","",COUNTIF(ListCariPembeli,"&lt;="&amp;$N83))</f>
        <v/>
      </c>
      <c r="P83" t="str">
        <f ca="1">IF(O83="","",INDEX(ListCariPembeli,MATCH(ROWS($O$2:$O83),$O$2:$O$201,0)))</f>
        <v/>
      </c>
      <c r="T83" s="77" t="str">
        <f t="array" aca="1" ref="T83" ca="1">IFERROR(INDEX(DaftarPembeli,SMALL(IF(OrderIDList=$S$2,ROW(DaftarPembeli)-ROW(PartsData!E$2)+1),ROWS(PartsData!E$2:'PartsData'!E83))),"")</f>
        <v/>
      </c>
      <c r="U83" s="77" t="str">
        <f ca="1">IF(T83="","",COUNTIF(ListNamaPembeli,"&lt;="&amp;$T83))</f>
        <v/>
      </c>
      <c r="V83" s="77" t="str">
        <f ca="1">IF(U83="","",INDEX(ListNamaPembeli,MATCH(ROWS($U$2:$U83),$U$2:$U$201,0)))</f>
        <v/>
      </c>
      <c r="Y83" s="77" t="str">
        <f t="array" aca="1" ref="Y83" ca="1">IFERROR(INDEX(RekapPembeli,SMALL(IF(RekapKontak=$X$2,ROW(RekapPembeli)-ROW(DataPemesanan!F$2)+1),ROWS(DataPemesanan!F$2:'DataPemesanan'!F83))),"")</f>
        <v/>
      </c>
      <c r="Z83" s="77" t="str">
        <f ca="1">IF(Y83="","",COUNTIF(DataRekapPembeli,"&lt;="&amp;$Y83))</f>
        <v/>
      </c>
      <c r="AA83" s="77" t="str">
        <f ca="1">IF(Z83="","",INDEX(DataRekapPembeli,MATCH(ROWS($Z$2:$Z83),$Z$2:$Z$201,0)))</f>
        <v/>
      </c>
    </row>
    <row r="84" spans="10:27">
      <c r="J84" t="str">
        <f t="array" aca="1" ref="J84" ca="1">IFERROR(INDEX(DaftarPembeli,SMALL(IF(OrderIDList=$I$2,ROW(DaftarPembeli)-ROW(PartsData!E$2)+1),ROWS(PartsData!E$2:'PartsData'!E84))),"")</f>
        <v/>
      </c>
      <c r="K84" t="str">
        <f ca="1">IF(J84="","",COUNTIF(ListPembeli,"&lt;="&amp;$J84))</f>
        <v/>
      </c>
      <c r="L84" t="str">
        <f ca="1">IF(K84="","",INDEX(ListPembeli,MATCH(ROWS($K$2:$K84),$K$2:$K$101,0)))</f>
        <v/>
      </c>
      <c r="N84" s="77" t="str">
        <f t="array" aca="1" ref="N84" ca="1">IFERROR(INDEX(DaftarPembeli,SMALL(IF(OrderIDList=$M$2,ROW(DaftarPembeli)-ROW(PartsData!E$2)+1),ROWS(PartsData!E$2:'PartsData'!E84))),"")</f>
        <v/>
      </c>
      <c r="O84" t="str">
        <f ca="1">IF(N84="","",COUNTIF(ListCariPembeli,"&lt;="&amp;$N84))</f>
        <v/>
      </c>
      <c r="P84" t="str">
        <f ca="1">IF(O84="","",INDEX(ListCariPembeli,MATCH(ROWS($O$2:$O84),$O$2:$O$201,0)))</f>
        <v/>
      </c>
      <c r="T84" s="77" t="str">
        <f t="array" aca="1" ref="T84" ca="1">IFERROR(INDEX(DaftarPembeli,SMALL(IF(OrderIDList=$S$2,ROW(DaftarPembeli)-ROW(PartsData!E$2)+1),ROWS(PartsData!E$2:'PartsData'!E84))),"")</f>
        <v/>
      </c>
      <c r="U84" s="77" t="str">
        <f ca="1">IF(T84="","",COUNTIF(ListNamaPembeli,"&lt;="&amp;$T84))</f>
        <v/>
      </c>
      <c r="V84" s="77" t="str">
        <f ca="1">IF(U84="","",INDEX(ListNamaPembeli,MATCH(ROWS($U$2:$U84),$U$2:$U$201,0)))</f>
        <v/>
      </c>
      <c r="Y84" s="77" t="str">
        <f t="array" aca="1" ref="Y84" ca="1">IFERROR(INDEX(RekapPembeli,SMALL(IF(RekapKontak=$X$2,ROW(RekapPembeli)-ROW(DataPemesanan!F$2)+1),ROWS(DataPemesanan!F$2:'DataPemesanan'!F84))),"")</f>
        <v/>
      </c>
      <c r="Z84" s="77" t="str">
        <f ca="1">IF(Y84="","",COUNTIF(DataRekapPembeli,"&lt;="&amp;$Y84))</f>
        <v/>
      </c>
      <c r="AA84" s="77" t="str">
        <f ca="1">IF(Z84="","",INDEX(DataRekapPembeli,MATCH(ROWS($Z$2:$Z84),$Z$2:$Z$201,0)))</f>
        <v/>
      </c>
    </row>
    <row r="85" spans="10:27">
      <c r="J85" t="str">
        <f t="array" aca="1" ref="J85" ca="1">IFERROR(INDEX(DaftarPembeli,SMALL(IF(OrderIDList=$I$2,ROW(DaftarPembeli)-ROW(PartsData!E$2)+1),ROWS(PartsData!E$2:'PartsData'!E85))),"")</f>
        <v/>
      </c>
      <c r="K85" t="str">
        <f ca="1">IF(J85="","",COUNTIF(ListPembeli,"&lt;="&amp;$J85))</f>
        <v/>
      </c>
      <c r="L85" t="str">
        <f ca="1">IF(K85="","",INDEX(ListPembeli,MATCH(ROWS($K$2:$K85),$K$2:$K$101,0)))</f>
        <v/>
      </c>
      <c r="N85" s="77" t="str">
        <f t="array" aca="1" ref="N85" ca="1">IFERROR(INDEX(DaftarPembeli,SMALL(IF(OrderIDList=$M$2,ROW(DaftarPembeli)-ROW(PartsData!E$2)+1),ROWS(PartsData!E$2:'PartsData'!E85))),"")</f>
        <v/>
      </c>
      <c r="O85" t="str">
        <f ca="1">IF(N85="","",COUNTIF(ListCariPembeli,"&lt;="&amp;$N85))</f>
        <v/>
      </c>
      <c r="P85" t="str">
        <f ca="1">IF(O85="","",INDEX(ListCariPembeli,MATCH(ROWS($O$2:$O85),$O$2:$O$201,0)))</f>
        <v/>
      </c>
      <c r="T85" s="77" t="str">
        <f t="array" aca="1" ref="T85" ca="1">IFERROR(INDEX(DaftarPembeli,SMALL(IF(OrderIDList=$S$2,ROW(DaftarPembeli)-ROW(PartsData!E$2)+1),ROWS(PartsData!E$2:'PartsData'!E85))),"")</f>
        <v/>
      </c>
      <c r="U85" s="77" t="str">
        <f ca="1">IF(T85="","",COUNTIF(ListNamaPembeli,"&lt;="&amp;$T85))</f>
        <v/>
      </c>
      <c r="V85" s="77" t="str">
        <f ca="1">IF(U85="","",INDEX(ListNamaPembeli,MATCH(ROWS($U$2:$U85),$U$2:$U$201,0)))</f>
        <v/>
      </c>
      <c r="Y85" s="77" t="str">
        <f t="array" aca="1" ref="Y85" ca="1">IFERROR(INDEX(RekapPembeli,SMALL(IF(RekapKontak=$X$2,ROW(RekapPembeli)-ROW(DataPemesanan!F$2)+1),ROWS(DataPemesanan!F$2:'DataPemesanan'!F85))),"")</f>
        <v/>
      </c>
      <c r="Z85" s="77" t="str">
        <f ca="1">IF(Y85="","",COUNTIF(DataRekapPembeli,"&lt;="&amp;$Y85))</f>
        <v/>
      </c>
      <c r="AA85" s="77" t="str">
        <f ca="1">IF(Z85="","",INDEX(DataRekapPembeli,MATCH(ROWS($Z$2:$Z85),$Z$2:$Z$201,0)))</f>
        <v/>
      </c>
    </row>
    <row r="86" spans="10:27">
      <c r="J86" t="str">
        <f t="array" aca="1" ref="J86" ca="1">IFERROR(INDEX(DaftarPembeli,SMALL(IF(OrderIDList=$I$2,ROW(DaftarPembeli)-ROW(PartsData!E$2)+1),ROWS(PartsData!E$2:'PartsData'!E86))),"")</f>
        <v/>
      </c>
      <c r="K86" t="str">
        <f ca="1">IF(J86="","",COUNTIF(ListPembeli,"&lt;="&amp;$J86))</f>
        <v/>
      </c>
      <c r="L86" t="str">
        <f ca="1">IF(K86="","",INDEX(ListPembeli,MATCH(ROWS($K$2:$K86),$K$2:$K$101,0)))</f>
        <v/>
      </c>
      <c r="N86" s="77" t="str">
        <f t="array" aca="1" ref="N86" ca="1">IFERROR(INDEX(DaftarPembeli,SMALL(IF(OrderIDList=$M$2,ROW(DaftarPembeli)-ROW(PartsData!E$2)+1),ROWS(PartsData!E$2:'PartsData'!E86))),"")</f>
        <v/>
      </c>
      <c r="O86" t="str">
        <f ca="1">IF(N86="","",COUNTIF(ListCariPembeli,"&lt;="&amp;$N86))</f>
        <v/>
      </c>
      <c r="P86" t="str">
        <f ca="1">IF(O86="","",INDEX(ListCariPembeli,MATCH(ROWS($O$2:$O86),$O$2:$O$201,0)))</f>
        <v/>
      </c>
      <c r="T86" s="77" t="str">
        <f t="array" aca="1" ref="T86" ca="1">IFERROR(INDEX(DaftarPembeli,SMALL(IF(OrderIDList=$S$2,ROW(DaftarPembeli)-ROW(PartsData!E$2)+1),ROWS(PartsData!E$2:'PartsData'!E86))),"")</f>
        <v/>
      </c>
      <c r="U86" s="77" t="str">
        <f ca="1">IF(T86="","",COUNTIF(ListNamaPembeli,"&lt;="&amp;$T86))</f>
        <v/>
      </c>
      <c r="V86" s="77" t="str">
        <f ca="1">IF(U86="","",INDEX(ListNamaPembeli,MATCH(ROWS($U$2:$U86),$U$2:$U$201,0)))</f>
        <v/>
      </c>
      <c r="Y86" s="77" t="str">
        <f t="array" aca="1" ref="Y86" ca="1">IFERROR(INDEX(RekapPembeli,SMALL(IF(RekapKontak=$X$2,ROW(RekapPembeli)-ROW(DataPemesanan!F$2)+1),ROWS(DataPemesanan!F$2:'DataPemesanan'!F86))),"")</f>
        <v/>
      </c>
      <c r="Z86" s="77" t="str">
        <f ca="1">IF(Y86="","",COUNTIF(DataRekapPembeli,"&lt;="&amp;$Y86))</f>
        <v/>
      </c>
      <c r="AA86" s="77" t="str">
        <f ca="1">IF(Z86="","",INDEX(DataRekapPembeli,MATCH(ROWS($Z$2:$Z86),$Z$2:$Z$201,0)))</f>
        <v/>
      </c>
    </row>
    <row r="87" spans="10:27">
      <c r="J87" t="str">
        <f t="array" aca="1" ref="J87" ca="1">IFERROR(INDEX(DaftarPembeli,SMALL(IF(OrderIDList=$I$2,ROW(DaftarPembeli)-ROW(PartsData!E$2)+1),ROWS(PartsData!E$2:'PartsData'!E87))),"")</f>
        <v/>
      </c>
      <c r="K87" t="str">
        <f ca="1">IF(J87="","",COUNTIF(ListPembeli,"&lt;="&amp;$J87))</f>
        <v/>
      </c>
      <c r="L87" t="str">
        <f ca="1">IF(K87="","",INDEX(ListPembeli,MATCH(ROWS($K$2:$K87),$K$2:$K$101,0)))</f>
        <v/>
      </c>
      <c r="N87" s="77" t="str">
        <f t="array" aca="1" ref="N87" ca="1">IFERROR(INDEX(DaftarPembeli,SMALL(IF(OrderIDList=$M$2,ROW(DaftarPembeli)-ROW(PartsData!E$2)+1),ROWS(PartsData!E$2:'PartsData'!E87))),"")</f>
        <v/>
      </c>
      <c r="O87" t="str">
        <f ca="1">IF(N87="","",COUNTIF(ListCariPembeli,"&lt;="&amp;$N87))</f>
        <v/>
      </c>
      <c r="P87" t="str">
        <f ca="1">IF(O87="","",INDEX(ListCariPembeli,MATCH(ROWS($O$2:$O87),$O$2:$O$201,0)))</f>
        <v/>
      </c>
      <c r="T87" s="77" t="str">
        <f t="array" aca="1" ref="T87" ca="1">IFERROR(INDEX(DaftarPembeli,SMALL(IF(OrderIDList=$S$2,ROW(DaftarPembeli)-ROW(PartsData!E$2)+1),ROWS(PartsData!E$2:'PartsData'!E87))),"")</f>
        <v/>
      </c>
      <c r="U87" s="77" t="str">
        <f ca="1">IF(T87="","",COUNTIF(ListNamaPembeli,"&lt;="&amp;$T87))</f>
        <v/>
      </c>
      <c r="V87" s="77" t="str">
        <f ca="1">IF(U87="","",INDEX(ListNamaPembeli,MATCH(ROWS($U$2:$U87),$U$2:$U$201,0)))</f>
        <v/>
      </c>
      <c r="Y87" s="77" t="str">
        <f t="array" aca="1" ref="Y87" ca="1">IFERROR(INDEX(RekapPembeli,SMALL(IF(RekapKontak=$X$2,ROW(RekapPembeli)-ROW(DataPemesanan!F$2)+1),ROWS(DataPemesanan!F$2:'DataPemesanan'!F87))),"")</f>
        <v/>
      </c>
      <c r="Z87" s="77" t="str">
        <f ca="1">IF(Y87="","",COUNTIF(DataRekapPembeli,"&lt;="&amp;$Y87))</f>
        <v/>
      </c>
      <c r="AA87" s="77" t="str">
        <f ca="1">IF(Z87="","",INDEX(DataRekapPembeli,MATCH(ROWS($Z$2:$Z87),$Z$2:$Z$201,0)))</f>
        <v/>
      </c>
    </row>
    <row r="88" spans="10:27">
      <c r="J88" t="str">
        <f t="array" aca="1" ref="J88" ca="1">IFERROR(INDEX(DaftarPembeli,SMALL(IF(OrderIDList=$I$2,ROW(DaftarPembeli)-ROW(PartsData!E$2)+1),ROWS(PartsData!E$2:'PartsData'!E88))),"")</f>
        <v/>
      </c>
      <c r="K88" t="str">
        <f ca="1">IF(J88="","",COUNTIF(ListPembeli,"&lt;="&amp;$J88))</f>
        <v/>
      </c>
      <c r="L88" t="str">
        <f ca="1">IF(K88="","",INDEX(ListPembeli,MATCH(ROWS($K$2:$K88),$K$2:$K$101,0)))</f>
        <v/>
      </c>
      <c r="N88" s="77" t="str">
        <f t="array" aca="1" ref="N88" ca="1">IFERROR(INDEX(DaftarPembeli,SMALL(IF(OrderIDList=$M$2,ROW(DaftarPembeli)-ROW(PartsData!E$2)+1),ROWS(PartsData!E$2:'PartsData'!E88))),"")</f>
        <v/>
      </c>
      <c r="O88" t="str">
        <f ca="1">IF(N88="","",COUNTIF(ListCariPembeli,"&lt;="&amp;$N88))</f>
        <v/>
      </c>
      <c r="P88" t="str">
        <f ca="1">IF(O88="","",INDEX(ListCariPembeli,MATCH(ROWS($O$2:$O88),$O$2:$O$201,0)))</f>
        <v/>
      </c>
      <c r="T88" s="77" t="str">
        <f t="array" aca="1" ref="T88" ca="1">IFERROR(INDEX(DaftarPembeli,SMALL(IF(OrderIDList=$S$2,ROW(DaftarPembeli)-ROW(PartsData!E$2)+1),ROWS(PartsData!E$2:'PartsData'!E88))),"")</f>
        <v/>
      </c>
      <c r="U88" s="77" t="str">
        <f ca="1">IF(T88="","",COUNTIF(ListNamaPembeli,"&lt;="&amp;$T88))</f>
        <v/>
      </c>
      <c r="V88" s="77" t="str">
        <f ca="1">IF(U88="","",INDEX(ListNamaPembeli,MATCH(ROWS($U$2:$U88),$U$2:$U$201,0)))</f>
        <v/>
      </c>
      <c r="Y88" s="77" t="str">
        <f t="array" aca="1" ref="Y88" ca="1">IFERROR(INDEX(RekapPembeli,SMALL(IF(RekapKontak=$X$2,ROW(RekapPembeli)-ROW(DataPemesanan!F$2)+1),ROWS(DataPemesanan!F$2:'DataPemesanan'!F88))),"")</f>
        <v/>
      </c>
      <c r="Z88" s="77" t="str">
        <f ca="1">IF(Y88="","",COUNTIF(DataRekapPembeli,"&lt;="&amp;$Y88))</f>
        <v/>
      </c>
      <c r="AA88" s="77" t="str">
        <f ca="1">IF(Z88="","",INDEX(DataRekapPembeli,MATCH(ROWS($Z$2:$Z88),$Z$2:$Z$201,0)))</f>
        <v/>
      </c>
    </row>
    <row r="89" spans="10:27">
      <c r="J89" t="str">
        <f t="array" aca="1" ref="J89" ca="1">IFERROR(INDEX(DaftarPembeli,SMALL(IF(OrderIDList=$I$2,ROW(DaftarPembeli)-ROW(PartsData!E$2)+1),ROWS(PartsData!E$2:'PartsData'!E89))),"")</f>
        <v/>
      </c>
      <c r="K89" t="str">
        <f ca="1">IF(J89="","",COUNTIF(ListPembeli,"&lt;="&amp;$J89))</f>
        <v/>
      </c>
      <c r="L89" t="str">
        <f ca="1">IF(K89="","",INDEX(ListPembeli,MATCH(ROWS($K$2:$K89),$K$2:$K$101,0)))</f>
        <v/>
      </c>
      <c r="N89" s="77" t="str">
        <f t="array" aca="1" ref="N89" ca="1">IFERROR(INDEX(DaftarPembeli,SMALL(IF(OrderIDList=$M$2,ROW(DaftarPembeli)-ROW(PartsData!E$2)+1),ROWS(PartsData!E$2:'PartsData'!E89))),"")</f>
        <v/>
      </c>
      <c r="O89" t="str">
        <f ca="1">IF(N89="","",COUNTIF(ListCariPembeli,"&lt;="&amp;$N89))</f>
        <v/>
      </c>
      <c r="P89" t="str">
        <f ca="1">IF(O89="","",INDEX(ListCariPembeli,MATCH(ROWS($O$2:$O89),$O$2:$O$201,0)))</f>
        <v/>
      </c>
      <c r="T89" s="77" t="str">
        <f t="array" aca="1" ref="T89" ca="1">IFERROR(INDEX(DaftarPembeli,SMALL(IF(OrderIDList=$S$2,ROW(DaftarPembeli)-ROW(PartsData!E$2)+1),ROWS(PartsData!E$2:'PartsData'!E89))),"")</f>
        <v/>
      </c>
      <c r="U89" s="77" t="str">
        <f ca="1">IF(T89="","",COUNTIF(ListNamaPembeli,"&lt;="&amp;$T89))</f>
        <v/>
      </c>
      <c r="V89" s="77" t="str">
        <f ca="1">IF(U89="","",INDEX(ListNamaPembeli,MATCH(ROWS($U$2:$U89),$U$2:$U$201,0)))</f>
        <v/>
      </c>
      <c r="Y89" s="77" t="str">
        <f t="array" aca="1" ref="Y89" ca="1">IFERROR(INDEX(RekapPembeli,SMALL(IF(RekapKontak=$X$2,ROW(RekapPembeli)-ROW(DataPemesanan!F$2)+1),ROWS(DataPemesanan!F$2:'DataPemesanan'!F89))),"")</f>
        <v/>
      </c>
      <c r="Z89" s="77" t="str">
        <f ca="1">IF(Y89="","",COUNTIF(DataRekapPembeli,"&lt;="&amp;$Y89))</f>
        <v/>
      </c>
      <c r="AA89" s="77" t="str">
        <f ca="1">IF(Z89="","",INDEX(DataRekapPembeli,MATCH(ROWS($Z$2:$Z89),$Z$2:$Z$201,0)))</f>
        <v/>
      </c>
    </row>
    <row r="90" spans="10:27">
      <c r="J90" t="str">
        <f t="array" aca="1" ref="J90" ca="1">IFERROR(INDEX(DaftarPembeli,SMALL(IF(OrderIDList=$I$2,ROW(DaftarPembeli)-ROW(PartsData!E$2)+1),ROWS(PartsData!E$2:'PartsData'!E90))),"")</f>
        <v/>
      </c>
      <c r="K90" t="str">
        <f ca="1">IF(J90="","",COUNTIF(ListPembeli,"&lt;="&amp;$J90))</f>
        <v/>
      </c>
      <c r="L90" t="str">
        <f ca="1">IF(K90="","",INDEX(ListPembeli,MATCH(ROWS($K$2:$K90),$K$2:$K$101,0)))</f>
        <v/>
      </c>
      <c r="N90" s="77" t="str">
        <f t="array" aca="1" ref="N90" ca="1">IFERROR(INDEX(DaftarPembeli,SMALL(IF(OrderIDList=$M$2,ROW(DaftarPembeli)-ROW(PartsData!E$2)+1),ROWS(PartsData!E$2:'PartsData'!E90))),"")</f>
        <v/>
      </c>
      <c r="O90" t="str">
        <f ca="1">IF(N90="","",COUNTIF(ListCariPembeli,"&lt;="&amp;$N90))</f>
        <v/>
      </c>
      <c r="P90" t="str">
        <f ca="1">IF(O90="","",INDEX(ListCariPembeli,MATCH(ROWS($O$2:$O90),$O$2:$O$201,0)))</f>
        <v/>
      </c>
      <c r="T90" s="77" t="str">
        <f t="array" aca="1" ref="T90" ca="1">IFERROR(INDEX(DaftarPembeli,SMALL(IF(OrderIDList=$S$2,ROW(DaftarPembeli)-ROW(PartsData!E$2)+1),ROWS(PartsData!E$2:'PartsData'!E90))),"")</f>
        <v/>
      </c>
      <c r="U90" s="77" t="str">
        <f ca="1">IF(T90="","",COUNTIF(ListNamaPembeli,"&lt;="&amp;$T90))</f>
        <v/>
      </c>
      <c r="V90" s="77" t="str">
        <f ca="1">IF(U90="","",INDEX(ListNamaPembeli,MATCH(ROWS($U$2:$U90),$U$2:$U$201,0)))</f>
        <v/>
      </c>
      <c r="Y90" s="77" t="str">
        <f t="array" aca="1" ref="Y90" ca="1">IFERROR(INDEX(RekapPembeli,SMALL(IF(RekapKontak=$X$2,ROW(RekapPembeli)-ROW(DataPemesanan!F$2)+1),ROWS(DataPemesanan!F$2:'DataPemesanan'!F90))),"")</f>
        <v/>
      </c>
      <c r="Z90" s="77" t="str">
        <f ca="1">IF(Y90="","",COUNTIF(DataRekapPembeli,"&lt;="&amp;$Y90))</f>
        <v/>
      </c>
      <c r="AA90" s="77" t="str">
        <f ca="1">IF(Z90="","",INDEX(DataRekapPembeli,MATCH(ROWS($Z$2:$Z90),$Z$2:$Z$201,0)))</f>
        <v/>
      </c>
    </row>
    <row r="91" spans="10:27">
      <c r="J91" t="str">
        <f t="array" aca="1" ref="J91" ca="1">IFERROR(INDEX(DaftarPembeli,SMALL(IF(OrderIDList=$I$2,ROW(DaftarPembeli)-ROW(PartsData!E$2)+1),ROWS(PartsData!E$2:'PartsData'!E91))),"")</f>
        <v/>
      </c>
      <c r="K91" t="str">
        <f ca="1">IF(J91="","",COUNTIF(ListPembeli,"&lt;="&amp;$J91))</f>
        <v/>
      </c>
      <c r="L91" t="str">
        <f ca="1">IF(K91="","",INDEX(ListPembeli,MATCH(ROWS($K$2:$K91),$K$2:$K$101,0)))</f>
        <v/>
      </c>
      <c r="N91" s="77" t="str">
        <f t="array" aca="1" ref="N91" ca="1">IFERROR(INDEX(DaftarPembeli,SMALL(IF(OrderIDList=$M$2,ROW(DaftarPembeli)-ROW(PartsData!E$2)+1),ROWS(PartsData!E$2:'PartsData'!E91))),"")</f>
        <v/>
      </c>
      <c r="O91" t="str">
        <f ca="1">IF(N91="","",COUNTIF(ListCariPembeli,"&lt;="&amp;$N91))</f>
        <v/>
      </c>
      <c r="P91" t="str">
        <f ca="1">IF(O91="","",INDEX(ListCariPembeli,MATCH(ROWS($O$2:$O91),$O$2:$O$201,0)))</f>
        <v/>
      </c>
      <c r="T91" s="77" t="str">
        <f t="array" aca="1" ref="T91" ca="1">IFERROR(INDEX(DaftarPembeli,SMALL(IF(OrderIDList=$S$2,ROW(DaftarPembeli)-ROW(PartsData!E$2)+1),ROWS(PartsData!E$2:'PartsData'!E91))),"")</f>
        <v/>
      </c>
      <c r="U91" s="77" t="str">
        <f ca="1">IF(T91="","",COUNTIF(ListNamaPembeli,"&lt;="&amp;$T91))</f>
        <v/>
      </c>
      <c r="V91" s="77" t="str">
        <f ca="1">IF(U91="","",INDEX(ListNamaPembeli,MATCH(ROWS($U$2:$U91),$U$2:$U$201,0)))</f>
        <v/>
      </c>
      <c r="Y91" s="77" t="str">
        <f t="array" aca="1" ref="Y91" ca="1">IFERROR(INDEX(RekapPembeli,SMALL(IF(RekapKontak=$X$2,ROW(RekapPembeli)-ROW(DataPemesanan!F$2)+1),ROWS(DataPemesanan!F$2:'DataPemesanan'!F91))),"")</f>
        <v/>
      </c>
      <c r="Z91" s="77" t="str">
        <f ca="1">IF(Y91="","",COUNTIF(DataRekapPembeli,"&lt;="&amp;$Y91))</f>
        <v/>
      </c>
      <c r="AA91" s="77" t="str">
        <f ca="1">IF(Z91="","",INDEX(DataRekapPembeli,MATCH(ROWS($Z$2:$Z91),$Z$2:$Z$201,0)))</f>
        <v/>
      </c>
    </row>
    <row r="92" spans="10:27">
      <c r="J92" t="str">
        <f t="array" aca="1" ref="J92" ca="1">IFERROR(INDEX(DaftarPembeli,SMALL(IF(OrderIDList=$I$2,ROW(DaftarPembeli)-ROW(PartsData!E$2)+1),ROWS(PartsData!E$2:'PartsData'!E92))),"")</f>
        <v/>
      </c>
      <c r="K92" t="str">
        <f ca="1">IF(J92="","",COUNTIF(ListPembeli,"&lt;="&amp;$J92))</f>
        <v/>
      </c>
      <c r="L92" t="str">
        <f ca="1">IF(K92="","",INDEX(ListPembeli,MATCH(ROWS($K$2:$K92),$K$2:$K$101,0)))</f>
        <v/>
      </c>
      <c r="N92" s="77" t="str">
        <f t="array" aca="1" ref="N92" ca="1">IFERROR(INDEX(DaftarPembeli,SMALL(IF(OrderIDList=$M$2,ROW(DaftarPembeli)-ROW(PartsData!E$2)+1),ROWS(PartsData!E$2:'PartsData'!E92))),"")</f>
        <v/>
      </c>
      <c r="O92" t="str">
        <f ca="1">IF(N92="","",COUNTIF(ListCariPembeli,"&lt;="&amp;$N92))</f>
        <v/>
      </c>
      <c r="P92" t="str">
        <f ca="1">IF(O92="","",INDEX(ListCariPembeli,MATCH(ROWS($O$2:$O92),$O$2:$O$201,0)))</f>
        <v/>
      </c>
      <c r="T92" s="77" t="str">
        <f t="array" aca="1" ref="T92" ca="1">IFERROR(INDEX(DaftarPembeli,SMALL(IF(OrderIDList=$S$2,ROW(DaftarPembeli)-ROW(PartsData!E$2)+1),ROWS(PartsData!E$2:'PartsData'!E92))),"")</f>
        <v/>
      </c>
      <c r="U92" s="77" t="str">
        <f ca="1">IF(T92="","",COUNTIF(ListNamaPembeli,"&lt;="&amp;$T92))</f>
        <v/>
      </c>
      <c r="V92" s="77" t="str">
        <f ca="1">IF(U92="","",INDEX(ListNamaPembeli,MATCH(ROWS($U$2:$U92),$U$2:$U$201,0)))</f>
        <v/>
      </c>
      <c r="Y92" s="77" t="str">
        <f t="array" aca="1" ref="Y92" ca="1">IFERROR(INDEX(RekapPembeli,SMALL(IF(RekapKontak=$X$2,ROW(RekapPembeli)-ROW(DataPemesanan!F$2)+1),ROWS(DataPemesanan!F$2:'DataPemesanan'!F92))),"")</f>
        <v/>
      </c>
      <c r="Z92" s="77" t="str">
        <f ca="1">IF(Y92="","",COUNTIF(DataRekapPembeli,"&lt;="&amp;$Y92))</f>
        <v/>
      </c>
      <c r="AA92" s="77" t="str">
        <f ca="1">IF(Z92="","",INDEX(DataRekapPembeli,MATCH(ROWS($Z$2:$Z92),$Z$2:$Z$201,0)))</f>
        <v/>
      </c>
    </row>
    <row r="93" spans="10:27">
      <c r="J93" t="str">
        <f t="array" aca="1" ref="J93" ca="1">IFERROR(INDEX(DaftarPembeli,SMALL(IF(OrderIDList=$I$2,ROW(DaftarPembeli)-ROW(PartsData!E$2)+1),ROWS(PartsData!E$2:'PartsData'!E93))),"")</f>
        <v/>
      </c>
      <c r="K93" t="str">
        <f ca="1">IF(J93="","",COUNTIF(ListPembeli,"&lt;="&amp;$J93))</f>
        <v/>
      </c>
      <c r="L93" t="str">
        <f ca="1">IF(K93="","",INDEX(ListPembeli,MATCH(ROWS($K$2:$K93),$K$2:$K$101,0)))</f>
        <v/>
      </c>
      <c r="N93" s="77" t="str">
        <f t="array" aca="1" ref="N93" ca="1">IFERROR(INDEX(DaftarPembeli,SMALL(IF(OrderIDList=$M$2,ROW(DaftarPembeli)-ROW(PartsData!E$2)+1),ROWS(PartsData!E$2:'PartsData'!E93))),"")</f>
        <v/>
      </c>
      <c r="O93" t="str">
        <f ca="1">IF(N93="","",COUNTIF(ListCariPembeli,"&lt;="&amp;$N93))</f>
        <v/>
      </c>
      <c r="P93" t="str">
        <f ca="1">IF(O93="","",INDEX(ListCariPembeli,MATCH(ROWS($O$2:$O93),$O$2:$O$201,0)))</f>
        <v/>
      </c>
      <c r="T93" s="77" t="str">
        <f t="array" aca="1" ref="T93" ca="1">IFERROR(INDEX(DaftarPembeli,SMALL(IF(OrderIDList=$S$2,ROW(DaftarPembeli)-ROW(PartsData!E$2)+1),ROWS(PartsData!E$2:'PartsData'!E93))),"")</f>
        <v/>
      </c>
      <c r="U93" s="77" t="str">
        <f ca="1">IF(T93="","",COUNTIF(ListNamaPembeli,"&lt;="&amp;$T93))</f>
        <v/>
      </c>
      <c r="V93" s="77" t="str">
        <f ca="1">IF(U93="","",INDEX(ListNamaPembeli,MATCH(ROWS($U$2:$U93),$U$2:$U$201,0)))</f>
        <v/>
      </c>
      <c r="Y93" s="77" t="str">
        <f t="array" aca="1" ref="Y93" ca="1">IFERROR(INDEX(RekapPembeli,SMALL(IF(RekapKontak=$X$2,ROW(RekapPembeli)-ROW(DataPemesanan!F$2)+1),ROWS(DataPemesanan!F$2:'DataPemesanan'!F93))),"")</f>
        <v/>
      </c>
      <c r="Z93" s="77" t="str">
        <f ca="1">IF(Y93="","",COUNTIF(DataRekapPembeli,"&lt;="&amp;$Y93))</f>
        <v/>
      </c>
      <c r="AA93" s="77" t="str">
        <f ca="1">IF(Z93="","",INDEX(DataRekapPembeli,MATCH(ROWS($Z$2:$Z93),$Z$2:$Z$201,0)))</f>
        <v/>
      </c>
    </row>
    <row r="94" spans="10:27">
      <c r="J94" t="str">
        <f t="array" aca="1" ref="J94" ca="1">IFERROR(INDEX(DaftarPembeli,SMALL(IF(OrderIDList=$I$2,ROW(DaftarPembeli)-ROW(PartsData!E$2)+1),ROWS(PartsData!E$2:'PartsData'!E94))),"")</f>
        <v/>
      </c>
      <c r="K94" t="str">
        <f ca="1">IF(J94="","",COUNTIF(ListPembeli,"&lt;="&amp;$J94))</f>
        <v/>
      </c>
      <c r="L94" t="str">
        <f ca="1">IF(K94="","",INDEX(ListPembeli,MATCH(ROWS($K$2:$K94),$K$2:$K$101,0)))</f>
        <v/>
      </c>
      <c r="N94" s="77" t="str">
        <f t="array" aca="1" ref="N94" ca="1">IFERROR(INDEX(DaftarPembeli,SMALL(IF(OrderIDList=$M$2,ROW(DaftarPembeli)-ROW(PartsData!E$2)+1),ROWS(PartsData!E$2:'PartsData'!E94))),"")</f>
        <v/>
      </c>
      <c r="O94" t="str">
        <f ca="1">IF(N94="","",COUNTIF(ListCariPembeli,"&lt;="&amp;$N94))</f>
        <v/>
      </c>
      <c r="P94" t="str">
        <f ca="1">IF(O94="","",INDEX(ListCariPembeli,MATCH(ROWS($O$2:$O94),$O$2:$O$201,0)))</f>
        <v/>
      </c>
      <c r="T94" s="77" t="str">
        <f t="array" aca="1" ref="T94" ca="1">IFERROR(INDEX(DaftarPembeli,SMALL(IF(OrderIDList=$S$2,ROW(DaftarPembeli)-ROW(PartsData!E$2)+1),ROWS(PartsData!E$2:'PartsData'!E94))),"")</f>
        <v/>
      </c>
      <c r="U94" s="77" t="str">
        <f ca="1">IF(T94="","",COUNTIF(ListNamaPembeli,"&lt;="&amp;$T94))</f>
        <v/>
      </c>
      <c r="V94" s="77" t="str">
        <f ca="1">IF(U94="","",INDEX(ListNamaPembeli,MATCH(ROWS($U$2:$U94),$U$2:$U$201,0)))</f>
        <v/>
      </c>
      <c r="Y94" s="77" t="str">
        <f t="array" aca="1" ref="Y94" ca="1">IFERROR(INDEX(RekapPembeli,SMALL(IF(RekapKontak=$X$2,ROW(RekapPembeli)-ROW(DataPemesanan!F$2)+1),ROWS(DataPemesanan!F$2:'DataPemesanan'!F94))),"")</f>
        <v/>
      </c>
      <c r="Z94" s="77" t="str">
        <f ca="1">IF(Y94="","",COUNTIF(DataRekapPembeli,"&lt;="&amp;$Y94))</f>
        <v/>
      </c>
      <c r="AA94" s="77" t="str">
        <f ca="1">IF(Z94="","",INDEX(DataRekapPembeli,MATCH(ROWS($Z$2:$Z94),$Z$2:$Z$201,0)))</f>
        <v/>
      </c>
    </row>
    <row r="95" spans="10:27">
      <c r="J95" t="str">
        <f t="array" aca="1" ref="J95" ca="1">IFERROR(INDEX(DaftarPembeli,SMALL(IF(OrderIDList=$I$2,ROW(DaftarPembeli)-ROW(PartsData!E$2)+1),ROWS(PartsData!E$2:'PartsData'!E95))),"")</f>
        <v/>
      </c>
      <c r="K95" t="str">
        <f ca="1">IF(J95="","",COUNTIF(ListPembeli,"&lt;="&amp;$J95))</f>
        <v/>
      </c>
      <c r="L95" t="str">
        <f ca="1">IF(K95="","",INDEX(ListPembeli,MATCH(ROWS($K$2:$K95),$K$2:$K$101,0)))</f>
        <v/>
      </c>
      <c r="N95" s="77" t="str">
        <f t="array" aca="1" ref="N95" ca="1">IFERROR(INDEX(DaftarPembeli,SMALL(IF(OrderIDList=$M$2,ROW(DaftarPembeli)-ROW(PartsData!E$2)+1),ROWS(PartsData!E$2:'PartsData'!E95))),"")</f>
        <v/>
      </c>
      <c r="O95" t="str">
        <f ca="1">IF(N95="","",COUNTIF(ListCariPembeli,"&lt;="&amp;$N95))</f>
        <v/>
      </c>
      <c r="P95" t="str">
        <f ca="1">IF(O95="","",INDEX(ListCariPembeli,MATCH(ROWS($O$2:$O95),$O$2:$O$201,0)))</f>
        <v/>
      </c>
      <c r="T95" s="77" t="str">
        <f t="array" aca="1" ref="T95" ca="1">IFERROR(INDEX(DaftarPembeli,SMALL(IF(OrderIDList=$S$2,ROW(DaftarPembeli)-ROW(PartsData!E$2)+1),ROWS(PartsData!E$2:'PartsData'!E95))),"")</f>
        <v/>
      </c>
      <c r="U95" s="77" t="str">
        <f ca="1">IF(T95="","",COUNTIF(ListNamaPembeli,"&lt;="&amp;$T95))</f>
        <v/>
      </c>
      <c r="V95" s="77" t="str">
        <f ca="1">IF(U95="","",INDEX(ListNamaPembeli,MATCH(ROWS($U$2:$U95),$U$2:$U$201,0)))</f>
        <v/>
      </c>
      <c r="Y95" s="77" t="str">
        <f t="array" aca="1" ref="Y95" ca="1">IFERROR(INDEX(RekapPembeli,SMALL(IF(RekapKontak=$X$2,ROW(RekapPembeli)-ROW(DataPemesanan!F$2)+1),ROWS(DataPemesanan!F$2:'DataPemesanan'!F95))),"")</f>
        <v/>
      </c>
      <c r="Z95" s="77" t="str">
        <f ca="1">IF(Y95="","",COUNTIF(DataRekapPembeli,"&lt;="&amp;$Y95))</f>
        <v/>
      </c>
      <c r="AA95" s="77" t="str">
        <f ca="1">IF(Z95="","",INDEX(DataRekapPembeli,MATCH(ROWS($Z$2:$Z95),$Z$2:$Z$201,0)))</f>
        <v/>
      </c>
    </row>
    <row r="96" spans="10:27">
      <c r="J96" t="str">
        <f t="array" aca="1" ref="J96" ca="1">IFERROR(INDEX(DaftarPembeli,SMALL(IF(OrderIDList=$I$2,ROW(DaftarPembeli)-ROW(PartsData!E$2)+1),ROWS(PartsData!E$2:'PartsData'!E96))),"")</f>
        <v/>
      </c>
      <c r="K96" t="str">
        <f ca="1">IF(J96="","",COUNTIF(ListPembeli,"&lt;="&amp;$J96))</f>
        <v/>
      </c>
      <c r="L96" t="str">
        <f ca="1">IF(K96="","",INDEX(ListPembeli,MATCH(ROWS($K$2:$K96),$K$2:$K$101,0)))</f>
        <v/>
      </c>
      <c r="N96" s="77" t="str">
        <f t="array" aca="1" ref="N96" ca="1">IFERROR(INDEX(DaftarPembeli,SMALL(IF(OrderIDList=$M$2,ROW(DaftarPembeli)-ROW(PartsData!E$2)+1),ROWS(PartsData!E$2:'PartsData'!E96))),"")</f>
        <v/>
      </c>
      <c r="O96" t="str">
        <f ca="1">IF(N96="","",COUNTIF(ListCariPembeli,"&lt;="&amp;$N96))</f>
        <v/>
      </c>
      <c r="P96" t="str">
        <f ca="1">IF(O96="","",INDEX(ListCariPembeli,MATCH(ROWS($O$2:$O96),$O$2:$O$201,0)))</f>
        <v/>
      </c>
      <c r="T96" s="77" t="str">
        <f t="array" aca="1" ref="T96" ca="1">IFERROR(INDEX(DaftarPembeli,SMALL(IF(OrderIDList=$S$2,ROW(DaftarPembeli)-ROW(PartsData!E$2)+1),ROWS(PartsData!E$2:'PartsData'!E96))),"")</f>
        <v/>
      </c>
      <c r="U96" s="77" t="str">
        <f ca="1">IF(T96="","",COUNTIF(ListNamaPembeli,"&lt;="&amp;$T96))</f>
        <v/>
      </c>
      <c r="V96" s="77" t="str">
        <f ca="1">IF(U96="","",INDEX(ListNamaPembeli,MATCH(ROWS($U$2:$U96),$U$2:$U$201,0)))</f>
        <v/>
      </c>
      <c r="Y96" s="77" t="str">
        <f t="array" aca="1" ref="Y96" ca="1">IFERROR(INDEX(RekapPembeli,SMALL(IF(RekapKontak=$X$2,ROW(RekapPembeli)-ROW(DataPemesanan!F$2)+1),ROWS(DataPemesanan!F$2:'DataPemesanan'!F96))),"")</f>
        <v/>
      </c>
      <c r="Z96" s="77" t="str">
        <f ca="1">IF(Y96="","",COUNTIF(DataRekapPembeli,"&lt;="&amp;$Y96))</f>
        <v/>
      </c>
      <c r="AA96" s="77" t="str">
        <f ca="1">IF(Z96="","",INDEX(DataRekapPembeli,MATCH(ROWS($Z$2:$Z96),$Z$2:$Z$201,0)))</f>
        <v/>
      </c>
    </row>
    <row r="97" spans="10:27">
      <c r="J97" t="str">
        <f t="array" aca="1" ref="J97" ca="1">IFERROR(INDEX(DaftarPembeli,SMALL(IF(OrderIDList=$I$2,ROW(DaftarPembeli)-ROW(PartsData!E$2)+1),ROWS(PartsData!E$2:'PartsData'!E97))),"")</f>
        <v/>
      </c>
      <c r="K97" t="str">
        <f ca="1">IF(J97="","",COUNTIF(ListPembeli,"&lt;="&amp;$J97))</f>
        <v/>
      </c>
      <c r="L97" t="str">
        <f ca="1">IF(K97="","",INDEX(ListPembeli,MATCH(ROWS($K$2:$K97),$K$2:$K$101,0)))</f>
        <v/>
      </c>
      <c r="N97" s="77" t="str">
        <f t="array" aca="1" ref="N97" ca="1">IFERROR(INDEX(DaftarPembeli,SMALL(IF(OrderIDList=$M$2,ROW(DaftarPembeli)-ROW(PartsData!E$2)+1),ROWS(PartsData!E$2:'PartsData'!E97))),"")</f>
        <v/>
      </c>
      <c r="O97" t="str">
        <f ca="1">IF(N97="","",COUNTIF(ListCariPembeli,"&lt;="&amp;$N97))</f>
        <v/>
      </c>
      <c r="P97" t="str">
        <f ca="1">IF(O97="","",INDEX(ListCariPembeli,MATCH(ROWS($O$2:$O97),$O$2:$O$201,0)))</f>
        <v/>
      </c>
      <c r="T97" s="77" t="str">
        <f t="array" aca="1" ref="T97" ca="1">IFERROR(INDEX(DaftarPembeli,SMALL(IF(OrderIDList=$S$2,ROW(DaftarPembeli)-ROW(PartsData!E$2)+1),ROWS(PartsData!E$2:'PartsData'!E97))),"")</f>
        <v/>
      </c>
      <c r="U97" s="77" t="str">
        <f ca="1">IF(T97="","",COUNTIF(ListNamaPembeli,"&lt;="&amp;$T97))</f>
        <v/>
      </c>
      <c r="V97" s="77" t="str">
        <f ca="1">IF(U97="","",INDEX(ListNamaPembeli,MATCH(ROWS($U$2:$U97),$U$2:$U$201,0)))</f>
        <v/>
      </c>
      <c r="Y97" s="77" t="str">
        <f t="array" aca="1" ref="Y97" ca="1">IFERROR(INDEX(RekapPembeli,SMALL(IF(RekapKontak=$X$2,ROW(RekapPembeli)-ROW(DataPemesanan!F$2)+1),ROWS(DataPemesanan!F$2:'DataPemesanan'!F97))),"")</f>
        <v/>
      </c>
      <c r="Z97" s="77" t="str">
        <f ca="1">IF(Y97="","",COUNTIF(DataRekapPembeli,"&lt;="&amp;$Y97))</f>
        <v/>
      </c>
      <c r="AA97" s="77" t="str">
        <f ca="1">IF(Z97="","",INDEX(DataRekapPembeli,MATCH(ROWS($Z$2:$Z97),$Z$2:$Z$201,0)))</f>
        <v/>
      </c>
    </row>
    <row r="98" spans="10:27">
      <c r="J98" t="str">
        <f t="array" aca="1" ref="J98" ca="1">IFERROR(INDEX(DaftarPembeli,SMALL(IF(OrderIDList=$I$2,ROW(DaftarPembeli)-ROW(PartsData!E$2)+1),ROWS(PartsData!E$2:'PartsData'!E98))),"")</f>
        <v/>
      </c>
      <c r="K98" t="str">
        <f ca="1">IF(J98="","",COUNTIF(ListPembeli,"&lt;="&amp;$J98))</f>
        <v/>
      </c>
      <c r="L98" t="str">
        <f ca="1">IF(K98="","",INDEX(ListPembeli,MATCH(ROWS($K$2:$K98),$K$2:$K$101,0)))</f>
        <v/>
      </c>
      <c r="N98" s="77" t="str">
        <f t="array" aca="1" ref="N98" ca="1">IFERROR(INDEX(DaftarPembeli,SMALL(IF(OrderIDList=$M$2,ROW(DaftarPembeli)-ROW(PartsData!E$2)+1),ROWS(PartsData!E$2:'PartsData'!E98))),"")</f>
        <v/>
      </c>
      <c r="O98" t="str">
        <f ca="1">IF(N98="","",COUNTIF(ListCariPembeli,"&lt;="&amp;$N98))</f>
        <v/>
      </c>
      <c r="P98" t="str">
        <f ca="1">IF(O98="","",INDEX(ListCariPembeli,MATCH(ROWS($O$2:$O98),$O$2:$O$201,0)))</f>
        <v/>
      </c>
      <c r="T98" s="77" t="str">
        <f t="array" aca="1" ref="T98" ca="1">IFERROR(INDEX(DaftarPembeli,SMALL(IF(OrderIDList=$S$2,ROW(DaftarPembeli)-ROW(PartsData!E$2)+1),ROWS(PartsData!E$2:'PartsData'!E98))),"")</f>
        <v/>
      </c>
      <c r="U98" s="77" t="str">
        <f ca="1">IF(T98="","",COUNTIF(ListNamaPembeli,"&lt;="&amp;$T98))</f>
        <v/>
      </c>
      <c r="V98" s="77" t="str">
        <f ca="1">IF(U98="","",INDEX(ListNamaPembeli,MATCH(ROWS($U$2:$U98),$U$2:$U$201,0)))</f>
        <v/>
      </c>
      <c r="Y98" s="77" t="str">
        <f t="array" aca="1" ref="Y98" ca="1">IFERROR(INDEX(RekapPembeli,SMALL(IF(RekapKontak=$X$2,ROW(RekapPembeli)-ROW(DataPemesanan!F$2)+1),ROWS(DataPemesanan!F$2:'DataPemesanan'!F98))),"")</f>
        <v/>
      </c>
      <c r="Z98" s="77" t="str">
        <f ca="1">IF(Y98="","",COUNTIF(DataRekapPembeli,"&lt;="&amp;$Y98))</f>
        <v/>
      </c>
      <c r="AA98" s="77" t="str">
        <f ca="1">IF(Z98="","",INDEX(DataRekapPembeli,MATCH(ROWS($Z$2:$Z98),$Z$2:$Z$201,0)))</f>
        <v/>
      </c>
    </row>
    <row r="99" spans="10:27">
      <c r="J99" t="str">
        <f t="array" aca="1" ref="J99" ca="1">IFERROR(INDEX(DaftarPembeli,SMALL(IF(OrderIDList=$I$2,ROW(DaftarPembeli)-ROW(PartsData!E$2)+1),ROWS(PartsData!E$2:'PartsData'!E99))),"")</f>
        <v/>
      </c>
      <c r="K99" t="str">
        <f ca="1">IF(J99="","",COUNTIF(ListPembeli,"&lt;="&amp;$J99))</f>
        <v/>
      </c>
      <c r="L99" t="str">
        <f ca="1">IF(K99="","",INDEX(ListPembeli,MATCH(ROWS($K$2:$K99),$K$2:$K$101,0)))</f>
        <v/>
      </c>
      <c r="N99" s="77" t="str">
        <f t="array" aca="1" ref="N99" ca="1">IFERROR(INDEX(DaftarPembeli,SMALL(IF(OrderIDList=$M$2,ROW(DaftarPembeli)-ROW(PartsData!E$2)+1),ROWS(PartsData!E$2:'PartsData'!E99))),"")</f>
        <v/>
      </c>
      <c r="O99" t="str">
        <f ca="1">IF(N99="","",COUNTIF(ListCariPembeli,"&lt;="&amp;$N99))</f>
        <v/>
      </c>
      <c r="P99" t="str">
        <f ca="1">IF(O99="","",INDEX(ListCariPembeli,MATCH(ROWS($O$2:$O99),$O$2:$O$201,0)))</f>
        <v/>
      </c>
      <c r="T99" s="77" t="str">
        <f t="array" aca="1" ref="T99" ca="1">IFERROR(INDEX(DaftarPembeli,SMALL(IF(OrderIDList=$S$2,ROW(DaftarPembeli)-ROW(PartsData!E$2)+1),ROWS(PartsData!E$2:'PartsData'!E99))),"")</f>
        <v/>
      </c>
      <c r="U99" s="77" t="str">
        <f ca="1">IF(T99="","",COUNTIF(ListNamaPembeli,"&lt;="&amp;$T99))</f>
        <v/>
      </c>
      <c r="V99" s="77" t="str">
        <f ca="1">IF(U99="","",INDEX(ListNamaPembeli,MATCH(ROWS($U$2:$U99),$U$2:$U$201,0)))</f>
        <v/>
      </c>
      <c r="Y99" s="77" t="str">
        <f t="array" aca="1" ref="Y99" ca="1">IFERROR(INDEX(RekapPembeli,SMALL(IF(RekapKontak=$X$2,ROW(RekapPembeli)-ROW(DataPemesanan!F$2)+1),ROWS(DataPemesanan!F$2:'DataPemesanan'!F99))),"")</f>
        <v/>
      </c>
      <c r="Z99" s="77" t="str">
        <f ca="1">IF(Y99="","",COUNTIF(DataRekapPembeli,"&lt;="&amp;$Y99))</f>
        <v/>
      </c>
      <c r="AA99" s="77" t="str">
        <f ca="1">IF(Z99="","",INDEX(DataRekapPembeli,MATCH(ROWS($Z$2:$Z99),$Z$2:$Z$201,0)))</f>
        <v/>
      </c>
    </row>
    <row r="100" spans="10:27">
      <c r="J100" t="str">
        <f t="array" aca="1" ref="J100" ca="1">IFERROR(INDEX(DaftarPembeli,SMALL(IF(OrderIDList=$I$2,ROW(DaftarPembeli)-ROW(PartsData!E$2)+1),ROWS(PartsData!E$2:'PartsData'!E100))),"")</f>
        <v/>
      </c>
      <c r="K100" t="str">
        <f ca="1">IF(J100="","",COUNTIF(ListPembeli,"&lt;="&amp;$J100))</f>
        <v/>
      </c>
      <c r="L100" t="str">
        <f ca="1">IF(K100="","",INDEX(ListPembeli,MATCH(ROWS($K$2:$K100),$K$2:$K$101,0)))</f>
        <v/>
      </c>
      <c r="N100" s="77" t="str">
        <f t="array" aca="1" ref="N100" ca="1">IFERROR(INDEX(DaftarPembeli,SMALL(IF(OrderIDList=$M$2,ROW(DaftarPembeli)-ROW(PartsData!E$2)+1),ROWS(PartsData!E$2:'PartsData'!E100))),"")</f>
        <v/>
      </c>
      <c r="O100" t="str">
        <f ca="1">IF(N100="","",COUNTIF(ListCariPembeli,"&lt;="&amp;$N100))</f>
        <v/>
      </c>
      <c r="P100" t="str">
        <f ca="1">IF(O100="","",INDEX(ListCariPembeli,MATCH(ROWS($O$2:$O100),$O$2:$O$201,0)))</f>
        <v/>
      </c>
      <c r="T100" s="77" t="str">
        <f t="array" aca="1" ref="T100" ca="1">IFERROR(INDEX(DaftarPembeli,SMALL(IF(OrderIDList=$S$2,ROW(DaftarPembeli)-ROW(PartsData!E$2)+1),ROWS(PartsData!E$2:'PartsData'!E100))),"")</f>
        <v/>
      </c>
      <c r="U100" s="77" t="str">
        <f ca="1">IF(T100="","",COUNTIF(ListNamaPembeli,"&lt;="&amp;$T100))</f>
        <v/>
      </c>
      <c r="V100" s="77" t="str">
        <f ca="1">IF(U100="","",INDEX(ListNamaPembeli,MATCH(ROWS($U$2:$U100),$U$2:$U$201,0)))</f>
        <v/>
      </c>
      <c r="Y100" s="77" t="str">
        <f t="array" aca="1" ref="Y100" ca="1">IFERROR(INDEX(RekapPembeli,SMALL(IF(RekapKontak=$X$2,ROW(RekapPembeli)-ROW(DataPemesanan!F$2)+1),ROWS(DataPemesanan!F$2:'DataPemesanan'!F100))),"")</f>
        <v/>
      </c>
      <c r="Z100" s="77" t="str">
        <f ca="1">IF(Y100="","",COUNTIF(DataRekapPembeli,"&lt;="&amp;$Y100))</f>
        <v/>
      </c>
      <c r="AA100" s="77" t="str">
        <f ca="1">IF(Z100="","",INDEX(DataRekapPembeli,MATCH(ROWS($Z$2:$Z100),$Z$2:$Z$201,0)))</f>
        <v/>
      </c>
    </row>
    <row r="101" spans="10:27">
      <c r="J101" t="str">
        <f t="array" aca="1" ref="J101" ca="1">IFERROR(INDEX(DaftarPembeli,SMALL(IF(OrderIDList=$I$2,ROW(DaftarPembeli)-ROW(PartsData!E$2)+1),ROWS(PartsData!E$2:'PartsData'!E101))),"")</f>
        <v/>
      </c>
      <c r="K101" t="str">
        <f ca="1">IF(J101="","",COUNTIF(ListPembeli,"&lt;="&amp;$J101))</f>
        <v/>
      </c>
      <c r="L101" t="str">
        <f ca="1">IF(K101="","",INDEX(ListPembeli,MATCH(ROWS($K$2:$K101),$K$2:$K$101,0)))</f>
        <v/>
      </c>
      <c r="N101" s="77" t="str">
        <f t="array" aca="1" ref="N101" ca="1">IFERROR(INDEX(DaftarPembeli,SMALL(IF(OrderIDList=$M$2,ROW(DaftarPembeli)-ROW(PartsData!E$2)+1),ROWS(PartsData!E$2:'PartsData'!E101))),"")</f>
        <v/>
      </c>
      <c r="O101" t="str">
        <f ca="1">IF(N101="","",COUNTIF(ListCariPembeli,"&lt;="&amp;$N101))</f>
        <v/>
      </c>
      <c r="P101" t="str">
        <f ca="1">IF(O101="","",INDEX(ListCariPembeli,MATCH(ROWS($O$2:$O101),$O$2:$O$201,0)))</f>
        <v/>
      </c>
      <c r="T101" s="77" t="str">
        <f t="array" aca="1" ref="T101" ca="1">IFERROR(INDEX(DaftarPembeli,SMALL(IF(OrderIDList=$S$2,ROW(DaftarPembeli)-ROW(PartsData!E$2)+1),ROWS(PartsData!E$2:'PartsData'!E101))),"")</f>
        <v/>
      </c>
      <c r="U101" s="77" t="str">
        <f ca="1">IF(T101="","",COUNTIF(ListNamaPembeli,"&lt;="&amp;$T101))</f>
        <v/>
      </c>
      <c r="V101" s="77" t="str">
        <f ca="1">IF(U101="","",INDEX(ListNamaPembeli,MATCH(ROWS($U$2:$U101),$U$2:$U$201,0)))</f>
        <v/>
      </c>
      <c r="Y101" s="77" t="str">
        <f t="array" aca="1" ref="Y101" ca="1">IFERROR(INDEX(RekapPembeli,SMALL(IF(RekapKontak=$X$2,ROW(RekapPembeli)-ROW(DataPemesanan!F$2)+1),ROWS(DataPemesanan!F$2:'DataPemesanan'!F101))),"")</f>
        <v/>
      </c>
      <c r="Z101" s="77" t="str">
        <f ca="1">IF(Y101="","",COUNTIF(DataRekapPembeli,"&lt;="&amp;$Y101))</f>
        <v/>
      </c>
      <c r="AA101" s="77" t="str">
        <f ca="1">IF(Z101="","",INDEX(DataRekapPembeli,MATCH(ROWS($Z$2:$Z101),$Z$2:$Z$201,0)))</f>
        <v/>
      </c>
    </row>
    <row r="102" spans="10:27">
      <c r="J102" t="str">
        <f t="array" aca="1" ref="J102" ca="1">IFERROR(INDEX(DaftarPembeli,SMALL(IF(OrderIDList=$I$2,ROW(DaftarPembeli)-ROW(PartsData!E$2)+1),ROWS(PartsData!E$2:'PartsData'!E102))),"")</f>
        <v/>
      </c>
      <c r="K102" t="str">
        <f ca="1">IF(J102="","",COUNTIF(ListPembeli,"&lt;="&amp;$J102))</f>
        <v/>
      </c>
      <c r="L102" t="str">
        <f ca="1">IF(K102="","",INDEX(ListPembeli,MATCH(ROWS($K$2:$K102),$K$2:$K$101,0)))</f>
        <v/>
      </c>
      <c r="N102" s="77" t="str">
        <f t="array" aca="1" ref="N102" ca="1">IFERROR(INDEX(DaftarPembeli,SMALL(IF(OrderIDList=$M$2,ROW(DaftarPembeli)-ROW(PartsData!E$2)+1),ROWS(PartsData!E$2:'PartsData'!E102))),"")</f>
        <v/>
      </c>
      <c r="O102" t="str">
        <f ca="1">IF(N102="","",COUNTIF(ListCariPembeli,"&lt;="&amp;$N102))</f>
        <v/>
      </c>
      <c r="P102" t="str">
        <f ca="1">IF(O102="","",INDEX(ListCariPembeli,MATCH(ROWS($O$2:$O102),$O$2:$O$201,0)))</f>
        <v/>
      </c>
      <c r="T102" s="77" t="str">
        <f t="array" aca="1" ref="T102" ca="1">IFERROR(INDEX(DaftarPembeli,SMALL(IF(OrderIDList=$S$2,ROW(DaftarPembeli)-ROW(PartsData!E$2)+1),ROWS(PartsData!E$2:'PartsData'!E102))),"")</f>
        <v/>
      </c>
      <c r="U102" s="77" t="str">
        <f ca="1">IF(T102="","",COUNTIF(ListNamaPembeli,"&lt;="&amp;$T102))</f>
        <v/>
      </c>
      <c r="V102" s="77" t="str">
        <f ca="1">IF(U102="","",INDEX(ListNamaPembeli,MATCH(ROWS($U$2:$U102),$U$2:$U$201,0)))</f>
        <v/>
      </c>
      <c r="Y102" s="77" t="str">
        <f t="array" aca="1" ref="Y102" ca="1">IFERROR(INDEX(RekapPembeli,SMALL(IF(RekapKontak=$X$2,ROW(RekapPembeli)-ROW(DataPemesanan!F$2)+1),ROWS(DataPemesanan!F$2:'DataPemesanan'!F102))),"")</f>
        <v/>
      </c>
      <c r="Z102" s="77" t="str">
        <f ca="1">IF(Y102="","",COUNTIF(DataRekapPembeli,"&lt;="&amp;$Y102))</f>
        <v/>
      </c>
      <c r="AA102" s="77" t="str">
        <f ca="1">IF(Z102="","",INDEX(DataRekapPembeli,MATCH(ROWS($Z$2:$Z102),$Z$2:$Z$201,0)))</f>
        <v/>
      </c>
    </row>
    <row r="103" spans="10:27">
      <c r="J103" t="str">
        <f t="array" aca="1" ref="J103" ca="1">IFERROR(INDEX(DaftarPembeli,SMALL(IF(OrderIDList=$I$2,ROW(DaftarPembeli)-ROW(PartsData!E$2)+1),ROWS(PartsData!E$2:'PartsData'!E103))),"")</f>
        <v/>
      </c>
      <c r="K103" t="str">
        <f ca="1">IF(J103="","",COUNTIF(ListPembeli,"&lt;="&amp;$J103))</f>
        <v/>
      </c>
      <c r="L103" t="str">
        <f ca="1">IF(K103="","",INDEX(ListPembeli,MATCH(ROWS($K$2:$K103),$K$2:$K$101,0)))</f>
        <v/>
      </c>
      <c r="N103" s="77" t="str">
        <f t="array" aca="1" ref="N103" ca="1">IFERROR(INDEX(DaftarPembeli,SMALL(IF(OrderIDList=$M$2,ROW(DaftarPembeli)-ROW(PartsData!E$2)+1),ROWS(PartsData!E$2:'PartsData'!E103))),"")</f>
        <v/>
      </c>
      <c r="O103" t="str">
        <f ca="1">IF(N103="","",COUNTIF(ListCariPembeli,"&lt;="&amp;$N103))</f>
        <v/>
      </c>
      <c r="P103" t="str">
        <f ca="1">IF(O103="","",INDEX(ListCariPembeli,MATCH(ROWS($O$2:$O103),$O$2:$O$201,0)))</f>
        <v/>
      </c>
      <c r="T103" s="77" t="str">
        <f t="array" aca="1" ref="T103" ca="1">IFERROR(INDEX(DaftarPembeli,SMALL(IF(OrderIDList=$S$2,ROW(DaftarPembeli)-ROW(PartsData!E$2)+1),ROWS(PartsData!E$2:'PartsData'!E103))),"")</f>
        <v/>
      </c>
      <c r="U103" s="77" t="str">
        <f ca="1">IF(T103="","",COUNTIF(ListNamaPembeli,"&lt;="&amp;$T103))</f>
        <v/>
      </c>
      <c r="V103" s="77" t="str">
        <f ca="1">IF(U103="","",INDEX(ListNamaPembeli,MATCH(ROWS($U$2:$U103),$U$2:$U$201,0)))</f>
        <v/>
      </c>
      <c r="Y103" s="77" t="str">
        <f t="array" aca="1" ref="Y103" ca="1">IFERROR(INDEX(RekapPembeli,SMALL(IF(RekapKontak=$X$2,ROW(RekapPembeli)-ROW(DataPemesanan!F$2)+1),ROWS(DataPemesanan!F$2:'DataPemesanan'!F103))),"")</f>
        <v/>
      </c>
      <c r="Z103" s="77" t="str">
        <f ca="1">IF(Y103="","",COUNTIF(DataRekapPembeli,"&lt;="&amp;$Y103))</f>
        <v/>
      </c>
      <c r="AA103" s="77" t="str">
        <f ca="1">IF(Z103="","",INDEX(DataRekapPembeli,MATCH(ROWS($Z$2:$Z103),$Z$2:$Z$201,0)))</f>
        <v/>
      </c>
    </row>
    <row r="104" spans="10:27">
      <c r="J104" t="str">
        <f t="array" aca="1" ref="J104" ca="1">IFERROR(INDEX(DaftarPembeli,SMALL(IF(OrderIDList=$I$2,ROW(DaftarPembeli)-ROW(PartsData!E$2)+1),ROWS(PartsData!E$2:'PartsData'!E104))),"")</f>
        <v/>
      </c>
      <c r="K104" t="str">
        <f ca="1">IF(J104="","",COUNTIF(ListPembeli,"&lt;="&amp;$J104))</f>
        <v/>
      </c>
      <c r="L104" t="str">
        <f ca="1">IF(K104="","",INDEX(ListPembeli,MATCH(ROWS($K$2:$K104),$K$2:$K$101,0)))</f>
        <v/>
      </c>
      <c r="N104" s="77" t="str">
        <f t="array" aca="1" ref="N104" ca="1">IFERROR(INDEX(DaftarPembeli,SMALL(IF(OrderIDList=$M$2,ROW(DaftarPembeli)-ROW(PartsData!E$2)+1),ROWS(PartsData!E$2:'PartsData'!E104))),"")</f>
        <v/>
      </c>
      <c r="O104" t="str">
        <f ca="1">IF(N104="","",COUNTIF(ListCariPembeli,"&lt;="&amp;$N104))</f>
        <v/>
      </c>
      <c r="P104" t="str">
        <f ca="1">IF(O104="","",INDEX(ListCariPembeli,MATCH(ROWS($O$2:$O104),$O$2:$O$201,0)))</f>
        <v/>
      </c>
      <c r="T104" s="77" t="str">
        <f t="array" aca="1" ref="T104" ca="1">IFERROR(INDEX(DaftarPembeli,SMALL(IF(OrderIDList=$S$2,ROW(DaftarPembeli)-ROW(PartsData!E$2)+1),ROWS(PartsData!E$2:'PartsData'!E104))),"")</f>
        <v/>
      </c>
      <c r="U104" s="77" t="str">
        <f ca="1">IF(T104="","",COUNTIF(ListNamaPembeli,"&lt;="&amp;$T104))</f>
        <v/>
      </c>
      <c r="V104" s="77" t="str">
        <f ca="1">IF(U104="","",INDEX(ListNamaPembeli,MATCH(ROWS($U$2:$U104),$U$2:$U$201,0)))</f>
        <v/>
      </c>
      <c r="Y104" s="77" t="str">
        <f t="array" aca="1" ref="Y104" ca="1">IFERROR(INDEX(RekapPembeli,SMALL(IF(RekapKontak=$X$2,ROW(RekapPembeli)-ROW(DataPemesanan!F$2)+1),ROWS(DataPemesanan!F$2:'DataPemesanan'!F104))),"")</f>
        <v/>
      </c>
      <c r="Z104" s="77" t="str">
        <f ca="1">IF(Y104="","",COUNTIF(DataRekapPembeli,"&lt;="&amp;$Y104))</f>
        <v/>
      </c>
      <c r="AA104" s="77" t="str">
        <f ca="1">IF(Z104="","",INDEX(DataRekapPembeli,MATCH(ROWS($Z$2:$Z104),$Z$2:$Z$201,0)))</f>
        <v/>
      </c>
    </row>
    <row r="105" spans="10:27">
      <c r="J105" t="str">
        <f t="array" aca="1" ref="J105" ca="1">IFERROR(INDEX(DaftarPembeli,SMALL(IF(OrderIDList=$I$2,ROW(DaftarPembeli)-ROW(PartsData!E$2)+1),ROWS(PartsData!E$2:'PartsData'!E105))),"")</f>
        <v/>
      </c>
      <c r="K105" t="str">
        <f ca="1">IF(J105="","",COUNTIF(ListPembeli,"&lt;="&amp;$J105))</f>
        <v/>
      </c>
      <c r="L105" t="str">
        <f ca="1">IF(K105="","",INDEX(ListPembeli,MATCH(ROWS($K$2:$K105),$K$2:$K$101,0)))</f>
        <v/>
      </c>
      <c r="N105" s="77" t="str">
        <f t="array" aca="1" ref="N105" ca="1">IFERROR(INDEX(DaftarPembeli,SMALL(IF(OrderIDList=$M$2,ROW(DaftarPembeli)-ROW(PartsData!E$2)+1),ROWS(PartsData!E$2:'PartsData'!E105))),"")</f>
        <v/>
      </c>
      <c r="O105" t="str">
        <f ca="1">IF(N105="","",COUNTIF(ListCariPembeli,"&lt;="&amp;$N105))</f>
        <v/>
      </c>
      <c r="P105" t="str">
        <f ca="1">IF(O105="","",INDEX(ListCariPembeli,MATCH(ROWS($O$2:$O105),$O$2:$O$201,0)))</f>
        <v/>
      </c>
      <c r="T105" s="77" t="str">
        <f t="array" aca="1" ref="T105" ca="1">IFERROR(INDEX(DaftarPembeli,SMALL(IF(OrderIDList=$S$2,ROW(DaftarPembeli)-ROW(PartsData!E$2)+1),ROWS(PartsData!E$2:'PartsData'!E105))),"")</f>
        <v/>
      </c>
      <c r="U105" s="77" t="str">
        <f ca="1">IF(T105="","",COUNTIF(ListNamaPembeli,"&lt;="&amp;$T105))</f>
        <v/>
      </c>
      <c r="V105" s="77" t="str">
        <f ca="1">IF(U105="","",INDEX(ListNamaPembeli,MATCH(ROWS($U$2:$U105),$U$2:$U$201,0)))</f>
        <v/>
      </c>
      <c r="Y105" s="77" t="str">
        <f t="array" aca="1" ref="Y105" ca="1">IFERROR(INDEX(RekapPembeli,SMALL(IF(RekapKontak=$X$2,ROW(RekapPembeli)-ROW(DataPemesanan!F$2)+1),ROWS(DataPemesanan!F$2:'DataPemesanan'!F105))),"")</f>
        <v/>
      </c>
      <c r="Z105" s="77" t="str">
        <f ca="1">IF(Y105="","",COUNTIF(DataRekapPembeli,"&lt;="&amp;$Y105))</f>
        <v/>
      </c>
      <c r="AA105" s="77" t="str">
        <f ca="1">IF(Z105="","",INDEX(DataRekapPembeli,MATCH(ROWS($Z$2:$Z105),$Z$2:$Z$201,0)))</f>
        <v/>
      </c>
    </row>
    <row r="106" spans="10:27">
      <c r="J106" t="str">
        <f t="array" aca="1" ref="J106" ca="1">IFERROR(INDEX(DaftarPembeli,SMALL(IF(OrderIDList=$I$2,ROW(DaftarPembeli)-ROW(PartsData!E$2)+1),ROWS(PartsData!E$2:'PartsData'!E106))),"")</f>
        <v/>
      </c>
      <c r="K106" t="str">
        <f ca="1">IF(J106="","",COUNTIF(ListPembeli,"&lt;="&amp;$J106))</f>
        <v/>
      </c>
      <c r="L106" t="str">
        <f ca="1">IF(K106="","",INDEX(ListPembeli,MATCH(ROWS($K$2:$K106),$K$2:$K$101,0)))</f>
        <v/>
      </c>
      <c r="N106" s="77" t="str">
        <f t="array" aca="1" ref="N106" ca="1">IFERROR(INDEX(DaftarPembeli,SMALL(IF(OrderIDList=$M$2,ROW(DaftarPembeli)-ROW(PartsData!E$2)+1),ROWS(PartsData!E$2:'PartsData'!E106))),"")</f>
        <v/>
      </c>
      <c r="O106" t="str">
        <f ca="1">IF(N106="","",COUNTIF(ListCariPembeli,"&lt;="&amp;$N106))</f>
        <v/>
      </c>
      <c r="P106" t="str">
        <f ca="1">IF(O106="","",INDEX(ListCariPembeli,MATCH(ROWS($O$2:$O106),$O$2:$O$201,0)))</f>
        <v/>
      </c>
      <c r="T106" s="77" t="str">
        <f t="array" aca="1" ref="T106" ca="1">IFERROR(INDEX(DaftarPembeli,SMALL(IF(OrderIDList=$S$2,ROW(DaftarPembeli)-ROW(PartsData!E$2)+1),ROWS(PartsData!E$2:'PartsData'!E106))),"")</f>
        <v/>
      </c>
      <c r="U106" s="77" t="str">
        <f ca="1">IF(T106="","",COUNTIF(ListNamaPembeli,"&lt;="&amp;$T106))</f>
        <v/>
      </c>
      <c r="V106" s="77" t="str">
        <f ca="1">IF(U106="","",INDEX(ListNamaPembeli,MATCH(ROWS($U$2:$U106),$U$2:$U$201,0)))</f>
        <v/>
      </c>
      <c r="Y106" s="77" t="str">
        <f t="array" aca="1" ref="Y106" ca="1">IFERROR(INDEX(RekapPembeli,SMALL(IF(RekapKontak=$X$2,ROW(RekapPembeli)-ROW(DataPemesanan!F$2)+1),ROWS(DataPemesanan!F$2:'DataPemesanan'!F106))),"")</f>
        <v/>
      </c>
      <c r="Z106" s="77" t="str">
        <f ca="1">IF(Y106="","",COUNTIF(DataRekapPembeli,"&lt;="&amp;$Y106))</f>
        <v/>
      </c>
      <c r="AA106" s="77" t="str">
        <f ca="1">IF(Z106="","",INDEX(DataRekapPembeli,MATCH(ROWS($Z$2:$Z106),$Z$2:$Z$201,0)))</f>
        <v/>
      </c>
    </row>
    <row r="107" spans="10:27">
      <c r="J107" t="str">
        <f t="array" aca="1" ref="J107" ca="1">IFERROR(INDEX(DaftarPembeli,SMALL(IF(OrderIDList=$I$2,ROW(DaftarPembeli)-ROW(PartsData!E$2)+1),ROWS(PartsData!E$2:'PartsData'!E107))),"")</f>
        <v/>
      </c>
      <c r="K107" t="str">
        <f ca="1">IF(J107="","",COUNTIF(ListPembeli,"&lt;="&amp;$J107))</f>
        <v/>
      </c>
      <c r="L107" t="str">
        <f ca="1">IF(K107="","",INDEX(ListPembeli,MATCH(ROWS($K$2:$K107),$K$2:$K$101,0)))</f>
        <v/>
      </c>
      <c r="N107" s="77" t="str">
        <f t="array" aca="1" ref="N107" ca="1">IFERROR(INDEX(DaftarPembeli,SMALL(IF(OrderIDList=$M$2,ROW(DaftarPembeli)-ROW(PartsData!E$2)+1),ROWS(PartsData!E$2:'PartsData'!E107))),"")</f>
        <v/>
      </c>
      <c r="O107" t="str">
        <f ca="1">IF(N107="","",COUNTIF(ListCariPembeli,"&lt;="&amp;$N107))</f>
        <v/>
      </c>
      <c r="P107" t="str">
        <f ca="1">IF(O107="","",INDEX(ListCariPembeli,MATCH(ROWS($O$2:$O107),$O$2:$O$201,0)))</f>
        <v/>
      </c>
      <c r="T107" s="77" t="str">
        <f t="array" aca="1" ref="T107" ca="1">IFERROR(INDEX(DaftarPembeli,SMALL(IF(OrderIDList=$S$2,ROW(DaftarPembeli)-ROW(PartsData!E$2)+1),ROWS(PartsData!E$2:'PartsData'!E107))),"")</f>
        <v/>
      </c>
      <c r="U107" s="77" t="str">
        <f ca="1">IF(T107="","",COUNTIF(ListNamaPembeli,"&lt;="&amp;$T107))</f>
        <v/>
      </c>
      <c r="V107" s="77" t="str">
        <f ca="1">IF(U107="","",INDEX(ListNamaPembeli,MATCH(ROWS($U$2:$U107),$U$2:$U$201,0)))</f>
        <v/>
      </c>
      <c r="Y107" s="77" t="str">
        <f t="array" aca="1" ref="Y107" ca="1">IFERROR(INDEX(RekapPembeli,SMALL(IF(RekapKontak=$X$2,ROW(RekapPembeli)-ROW(DataPemesanan!F$2)+1),ROWS(DataPemesanan!F$2:'DataPemesanan'!F107))),"")</f>
        <v/>
      </c>
      <c r="Z107" s="77" t="str">
        <f ca="1">IF(Y107="","",COUNTIF(DataRekapPembeli,"&lt;="&amp;$Y107))</f>
        <v/>
      </c>
      <c r="AA107" s="77" t="str">
        <f ca="1">IF(Z107="","",INDEX(DataRekapPembeli,MATCH(ROWS($Z$2:$Z107),$Z$2:$Z$201,0)))</f>
        <v/>
      </c>
    </row>
    <row r="108" spans="10:27">
      <c r="J108" t="str">
        <f t="array" aca="1" ref="J108" ca="1">IFERROR(INDEX(DaftarPembeli,SMALL(IF(OrderIDList=$I$2,ROW(DaftarPembeli)-ROW(PartsData!E$2)+1),ROWS(PartsData!E$2:'PartsData'!E108))),"")</f>
        <v/>
      </c>
      <c r="K108" t="str">
        <f ca="1">IF(J108="","",COUNTIF(ListPembeli,"&lt;="&amp;$J108))</f>
        <v/>
      </c>
      <c r="L108" t="str">
        <f ca="1">IF(K108="","",INDEX(ListPembeli,MATCH(ROWS($K$2:$K108),$K$2:$K$101,0)))</f>
        <v/>
      </c>
      <c r="N108" s="77" t="str">
        <f t="array" aca="1" ref="N108" ca="1">IFERROR(INDEX(DaftarPembeli,SMALL(IF(OrderIDList=$M$2,ROW(DaftarPembeli)-ROW(PartsData!E$2)+1),ROWS(PartsData!E$2:'PartsData'!E108))),"")</f>
        <v/>
      </c>
      <c r="O108" t="str">
        <f ca="1">IF(N108="","",COUNTIF(ListCariPembeli,"&lt;="&amp;$N108))</f>
        <v/>
      </c>
      <c r="P108" t="str">
        <f ca="1">IF(O108="","",INDEX(ListCariPembeli,MATCH(ROWS($O$2:$O108),$O$2:$O$201,0)))</f>
        <v/>
      </c>
      <c r="T108" s="77" t="str">
        <f t="array" aca="1" ref="T108" ca="1">IFERROR(INDEX(DaftarPembeli,SMALL(IF(OrderIDList=$S$2,ROW(DaftarPembeli)-ROW(PartsData!E$2)+1),ROWS(PartsData!E$2:'PartsData'!E108))),"")</f>
        <v/>
      </c>
      <c r="U108" s="77" t="str">
        <f ca="1">IF(T108="","",COUNTIF(ListNamaPembeli,"&lt;="&amp;$T108))</f>
        <v/>
      </c>
      <c r="V108" s="77" t="str">
        <f ca="1">IF(U108="","",INDEX(ListNamaPembeli,MATCH(ROWS($U$2:$U108),$U$2:$U$201,0)))</f>
        <v/>
      </c>
      <c r="Y108" s="77" t="str">
        <f t="array" aca="1" ref="Y108" ca="1">IFERROR(INDEX(RekapPembeli,SMALL(IF(RekapKontak=$X$2,ROW(RekapPembeli)-ROW(DataPemesanan!F$2)+1),ROWS(DataPemesanan!F$2:'DataPemesanan'!F108))),"")</f>
        <v/>
      </c>
      <c r="Z108" s="77" t="str">
        <f ca="1">IF(Y108="","",COUNTIF(DataRekapPembeli,"&lt;="&amp;$Y108))</f>
        <v/>
      </c>
      <c r="AA108" s="77" t="str">
        <f ca="1">IF(Z108="","",INDEX(DataRekapPembeli,MATCH(ROWS($Z$2:$Z108),$Z$2:$Z$201,0)))</f>
        <v/>
      </c>
    </row>
    <row r="109" spans="10:27">
      <c r="J109" t="str">
        <f t="array" aca="1" ref="J109" ca="1">IFERROR(INDEX(DaftarPembeli,SMALL(IF(OrderIDList=$I$2,ROW(DaftarPembeli)-ROW(PartsData!E$2)+1),ROWS(PartsData!E$2:'PartsData'!E109))),"")</f>
        <v/>
      </c>
      <c r="K109" t="str">
        <f ca="1">IF(J109="","",COUNTIF(ListPembeli,"&lt;="&amp;$J109))</f>
        <v/>
      </c>
      <c r="L109" t="str">
        <f ca="1">IF(K109="","",INDEX(ListPembeli,MATCH(ROWS($K$2:$K109),$K$2:$K$101,0)))</f>
        <v/>
      </c>
      <c r="N109" s="77" t="str">
        <f t="array" aca="1" ref="N109" ca="1">IFERROR(INDEX(DaftarPembeli,SMALL(IF(OrderIDList=$M$2,ROW(DaftarPembeli)-ROW(PartsData!E$2)+1),ROWS(PartsData!E$2:'PartsData'!E109))),"")</f>
        <v/>
      </c>
      <c r="O109" t="str">
        <f ca="1">IF(N109="","",COUNTIF(ListCariPembeli,"&lt;="&amp;$N109))</f>
        <v/>
      </c>
      <c r="P109" t="str">
        <f ca="1">IF(O109="","",INDEX(ListCariPembeli,MATCH(ROWS($O$2:$O109),$O$2:$O$201,0)))</f>
        <v/>
      </c>
      <c r="T109" s="77" t="str">
        <f t="array" aca="1" ref="T109" ca="1">IFERROR(INDEX(DaftarPembeli,SMALL(IF(OrderIDList=$S$2,ROW(DaftarPembeli)-ROW(PartsData!E$2)+1),ROWS(PartsData!E$2:'PartsData'!E109))),"")</f>
        <v/>
      </c>
      <c r="U109" s="77" t="str">
        <f ca="1">IF(T109="","",COUNTIF(ListNamaPembeli,"&lt;="&amp;$T109))</f>
        <v/>
      </c>
      <c r="V109" s="77" t="str">
        <f ca="1">IF(U109="","",INDEX(ListNamaPembeli,MATCH(ROWS($U$2:$U109),$U$2:$U$201,0)))</f>
        <v/>
      </c>
      <c r="Y109" s="77" t="str">
        <f t="array" aca="1" ref="Y109" ca="1">IFERROR(INDEX(RekapPembeli,SMALL(IF(RekapKontak=$X$2,ROW(RekapPembeli)-ROW(DataPemesanan!F$2)+1),ROWS(DataPemesanan!F$2:'DataPemesanan'!F109))),"")</f>
        <v/>
      </c>
      <c r="Z109" s="77" t="str">
        <f ca="1">IF(Y109="","",COUNTIF(DataRekapPembeli,"&lt;="&amp;$Y109))</f>
        <v/>
      </c>
      <c r="AA109" s="77" t="str">
        <f ca="1">IF(Z109="","",INDEX(DataRekapPembeli,MATCH(ROWS($Z$2:$Z109),$Z$2:$Z$201,0)))</f>
        <v/>
      </c>
    </row>
    <row r="110" spans="10:27">
      <c r="J110" t="str">
        <f t="array" aca="1" ref="J110" ca="1">IFERROR(INDEX(DaftarPembeli,SMALL(IF(OrderIDList=$I$2,ROW(DaftarPembeli)-ROW(PartsData!E$2)+1),ROWS(PartsData!E$2:'PartsData'!E110))),"")</f>
        <v/>
      </c>
      <c r="K110" t="str">
        <f ca="1">IF(J110="","",COUNTIF(ListPembeli,"&lt;="&amp;$J110))</f>
        <v/>
      </c>
      <c r="L110" t="str">
        <f ca="1">IF(K110="","",INDEX(ListPembeli,MATCH(ROWS($K$2:$K110),$K$2:$K$101,0)))</f>
        <v/>
      </c>
      <c r="N110" s="77" t="str">
        <f t="array" aca="1" ref="N110" ca="1">IFERROR(INDEX(DaftarPembeli,SMALL(IF(OrderIDList=$M$2,ROW(DaftarPembeli)-ROW(PartsData!E$2)+1),ROWS(PartsData!E$2:'PartsData'!E110))),"")</f>
        <v/>
      </c>
      <c r="O110" t="str">
        <f ca="1">IF(N110="","",COUNTIF(ListCariPembeli,"&lt;="&amp;$N110))</f>
        <v/>
      </c>
      <c r="P110" t="str">
        <f ca="1">IF(O110="","",INDEX(ListCariPembeli,MATCH(ROWS($O$2:$O110),$O$2:$O$201,0)))</f>
        <v/>
      </c>
      <c r="T110" s="77" t="str">
        <f t="array" aca="1" ref="T110" ca="1">IFERROR(INDEX(DaftarPembeli,SMALL(IF(OrderIDList=$S$2,ROW(DaftarPembeli)-ROW(PartsData!E$2)+1),ROWS(PartsData!E$2:'PartsData'!E110))),"")</f>
        <v/>
      </c>
      <c r="U110" s="77" t="str">
        <f ca="1">IF(T110="","",COUNTIF(ListNamaPembeli,"&lt;="&amp;$T110))</f>
        <v/>
      </c>
      <c r="V110" s="77" t="str">
        <f ca="1">IF(U110="","",INDEX(ListNamaPembeli,MATCH(ROWS($U$2:$U110),$U$2:$U$201,0)))</f>
        <v/>
      </c>
      <c r="Y110" s="77" t="str">
        <f t="array" aca="1" ref="Y110" ca="1">IFERROR(INDEX(RekapPembeli,SMALL(IF(RekapKontak=$X$2,ROW(RekapPembeli)-ROW(DataPemesanan!F$2)+1),ROWS(DataPemesanan!F$2:'DataPemesanan'!F110))),"")</f>
        <v/>
      </c>
      <c r="Z110" s="77" t="str">
        <f ca="1">IF(Y110="","",COUNTIF(DataRekapPembeli,"&lt;="&amp;$Y110))</f>
        <v/>
      </c>
      <c r="AA110" s="77" t="str">
        <f ca="1">IF(Z110="","",INDEX(DataRekapPembeli,MATCH(ROWS($Z$2:$Z110),$Z$2:$Z$201,0)))</f>
        <v/>
      </c>
    </row>
    <row r="111" spans="10:27">
      <c r="J111" t="str">
        <f t="array" aca="1" ref="J111" ca="1">IFERROR(INDEX(DaftarPembeli,SMALL(IF(OrderIDList=$I$2,ROW(DaftarPembeli)-ROW(PartsData!E$2)+1),ROWS(PartsData!E$2:'PartsData'!E111))),"")</f>
        <v/>
      </c>
      <c r="K111" t="str">
        <f ca="1">IF(J111="","",COUNTIF(ListPembeli,"&lt;="&amp;$J111))</f>
        <v/>
      </c>
      <c r="L111" t="str">
        <f ca="1">IF(K111="","",INDEX(ListPembeli,MATCH(ROWS($K$2:$K111),$K$2:$K$101,0)))</f>
        <v/>
      </c>
      <c r="N111" s="77" t="str">
        <f t="array" aca="1" ref="N111" ca="1">IFERROR(INDEX(DaftarPembeli,SMALL(IF(OrderIDList=$M$2,ROW(DaftarPembeli)-ROW(PartsData!E$2)+1),ROWS(PartsData!E$2:'PartsData'!E111))),"")</f>
        <v/>
      </c>
      <c r="O111" t="str">
        <f ca="1">IF(N111="","",COUNTIF(ListCariPembeli,"&lt;="&amp;$N111))</f>
        <v/>
      </c>
      <c r="P111" t="str">
        <f ca="1">IF(O111="","",INDEX(ListCariPembeli,MATCH(ROWS($O$2:$O111),$O$2:$O$201,0)))</f>
        <v/>
      </c>
      <c r="T111" s="77" t="str">
        <f t="array" aca="1" ref="T111" ca="1">IFERROR(INDEX(DaftarPembeli,SMALL(IF(OrderIDList=$S$2,ROW(DaftarPembeli)-ROW(PartsData!E$2)+1),ROWS(PartsData!E$2:'PartsData'!E111))),"")</f>
        <v/>
      </c>
      <c r="U111" s="77" t="str">
        <f ca="1">IF(T111="","",COUNTIF(ListNamaPembeli,"&lt;="&amp;$T111))</f>
        <v/>
      </c>
      <c r="V111" s="77" t="str">
        <f ca="1">IF(U111="","",INDEX(ListNamaPembeli,MATCH(ROWS($U$2:$U111),$U$2:$U$201,0)))</f>
        <v/>
      </c>
      <c r="Y111" s="77" t="str">
        <f t="array" aca="1" ref="Y111" ca="1">IFERROR(INDEX(RekapPembeli,SMALL(IF(RekapKontak=$X$2,ROW(RekapPembeli)-ROW(DataPemesanan!F$2)+1),ROWS(DataPemesanan!F$2:'DataPemesanan'!F111))),"")</f>
        <v/>
      </c>
      <c r="Z111" s="77" t="str">
        <f ca="1">IF(Y111="","",COUNTIF(DataRekapPembeli,"&lt;="&amp;$Y111))</f>
        <v/>
      </c>
      <c r="AA111" s="77" t="str">
        <f ca="1">IF(Z111="","",INDEX(DataRekapPembeli,MATCH(ROWS($Z$2:$Z111),$Z$2:$Z$201,0)))</f>
        <v/>
      </c>
    </row>
    <row r="112" spans="10:27">
      <c r="J112" t="str">
        <f t="array" aca="1" ref="J112" ca="1">IFERROR(INDEX(DaftarPembeli,SMALL(IF(OrderIDList=$I$2,ROW(DaftarPembeli)-ROW(PartsData!E$2)+1),ROWS(PartsData!E$2:'PartsData'!E112))),"")</f>
        <v/>
      </c>
      <c r="K112" t="str">
        <f ca="1">IF(J112="","",COUNTIF(ListPembeli,"&lt;="&amp;$J112))</f>
        <v/>
      </c>
      <c r="L112" t="str">
        <f ca="1">IF(K112="","",INDEX(ListPembeli,MATCH(ROWS($K$2:$K112),$K$2:$K$101,0)))</f>
        <v/>
      </c>
      <c r="N112" s="77" t="str">
        <f t="array" aca="1" ref="N112" ca="1">IFERROR(INDEX(DaftarPembeli,SMALL(IF(OrderIDList=$M$2,ROW(DaftarPembeli)-ROW(PartsData!E$2)+1),ROWS(PartsData!E$2:'PartsData'!E112))),"")</f>
        <v/>
      </c>
      <c r="O112" t="str">
        <f ca="1">IF(N112="","",COUNTIF(ListCariPembeli,"&lt;="&amp;$N112))</f>
        <v/>
      </c>
      <c r="P112" t="str">
        <f ca="1">IF(O112="","",INDEX(ListCariPembeli,MATCH(ROWS($O$2:$O112),$O$2:$O$201,0)))</f>
        <v/>
      </c>
      <c r="T112" s="77" t="str">
        <f t="array" aca="1" ref="T112" ca="1">IFERROR(INDEX(DaftarPembeli,SMALL(IF(OrderIDList=$S$2,ROW(DaftarPembeli)-ROW(PartsData!E$2)+1),ROWS(PartsData!E$2:'PartsData'!E112))),"")</f>
        <v/>
      </c>
      <c r="U112" s="77" t="str">
        <f ca="1">IF(T112="","",COUNTIF(ListNamaPembeli,"&lt;="&amp;$T112))</f>
        <v/>
      </c>
      <c r="V112" s="77" t="str">
        <f ca="1">IF(U112="","",INDEX(ListNamaPembeli,MATCH(ROWS($U$2:$U112),$U$2:$U$201,0)))</f>
        <v/>
      </c>
      <c r="Y112" s="77" t="str">
        <f t="array" aca="1" ref="Y112" ca="1">IFERROR(INDEX(RekapPembeli,SMALL(IF(RekapKontak=$X$2,ROW(RekapPembeli)-ROW(DataPemesanan!F$2)+1),ROWS(DataPemesanan!F$2:'DataPemesanan'!F112))),"")</f>
        <v/>
      </c>
      <c r="Z112" s="77" t="str">
        <f ca="1">IF(Y112="","",COUNTIF(DataRekapPembeli,"&lt;="&amp;$Y112))</f>
        <v/>
      </c>
      <c r="AA112" s="77" t="str">
        <f ca="1">IF(Z112="","",INDEX(DataRekapPembeli,MATCH(ROWS($Z$2:$Z112),$Z$2:$Z$201,0)))</f>
        <v/>
      </c>
    </row>
    <row r="113" spans="10:27">
      <c r="J113" t="str">
        <f t="array" aca="1" ref="J113" ca="1">IFERROR(INDEX(DaftarPembeli,SMALL(IF(OrderIDList=$I$2,ROW(DaftarPembeli)-ROW(PartsData!E$2)+1),ROWS(PartsData!E$2:'PartsData'!E113))),"")</f>
        <v/>
      </c>
      <c r="K113" t="str">
        <f ca="1">IF(J113="","",COUNTIF(ListPembeli,"&lt;="&amp;$J113))</f>
        <v/>
      </c>
      <c r="L113" t="str">
        <f ca="1">IF(K113="","",INDEX(ListPembeli,MATCH(ROWS($K$2:$K113),$K$2:$K$101,0)))</f>
        <v/>
      </c>
      <c r="N113" s="77" t="str">
        <f t="array" aca="1" ref="N113" ca="1">IFERROR(INDEX(DaftarPembeli,SMALL(IF(OrderIDList=$M$2,ROW(DaftarPembeli)-ROW(PartsData!E$2)+1),ROWS(PartsData!E$2:'PartsData'!E113))),"")</f>
        <v/>
      </c>
      <c r="O113" t="str">
        <f ca="1">IF(N113="","",COUNTIF(ListCariPembeli,"&lt;="&amp;$N113))</f>
        <v/>
      </c>
      <c r="P113" t="str">
        <f ca="1">IF(O113="","",INDEX(ListCariPembeli,MATCH(ROWS($O$2:$O113),$O$2:$O$201,0)))</f>
        <v/>
      </c>
      <c r="T113" s="77" t="str">
        <f t="array" aca="1" ref="T113" ca="1">IFERROR(INDEX(DaftarPembeli,SMALL(IF(OrderIDList=$S$2,ROW(DaftarPembeli)-ROW(PartsData!E$2)+1),ROWS(PartsData!E$2:'PartsData'!E113))),"")</f>
        <v/>
      </c>
      <c r="U113" s="77" t="str">
        <f ca="1">IF(T113="","",COUNTIF(ListNamaPembeli,"&lt;="&amp;$T113))</f>
        <v/>
      </c>
      <c r="V113" s="77" t="str">
        <f ca="1">IF(U113="","",INDEX(ListNamaPembeli,MATCH(ROWS($U$2:$U113),$U$2:$U$201,0)))</f>
        <v/>
      </c>
      <c r="Y113" s="77" t="str">
        <f t="array" aca="1" ref="Y113" ca="1">IFERROR(INDEX(RekapPembeli,SMALL(IF(RekapKontak=$X$2,ROW(RekapPembeli)-ROW(DataPemesanan!F$2)+1),ROWS(DataPemesanan!F$2:'DataPemesanan'!F113))),"")</f>
        <v/>
      </c>
      <c r="Z113" s="77" t="str">
        <f ca="1">IF(Y113="","",COUNTIF(DataRekapPembeli,"&lt;="&amp;$Y113))</f>
        <v/>
      </c>
      <c r="AA113" s="77" t="str">
        <f ca="1">IF(Z113="","",INDEX(DataRekapPembeli,MATCH(ROWS($Z$2:$Z113),$Z$2:$Z$201,0)))</f>
        <v/>
      </c>
    </row>
    <row r="114" spans="10:27">
      <c r="J114" t="str">
        <f t="array" aca="1" ref="J114" ca="1">IFERROR(INDEX(DaftarPembeli,SMALL(IF(OrderIDList=$I$2,ROW(DaftarPembeli)-ROW(PartsData!E$2)+1),ROWS(PartsData!E$2:'PartsData'!E114))),"")</f>
        <v/>
      </c>
      <c r="K114" t="str">
        <f ca="1">IF(J114="","",COUNTIF(ListPembeli,"&lt;="&amp;$J114))</f>
        <v/>
      </c>
      <c r="L114" t="str">
        <f ca="1">IF(K114="","",INDEX(ListPembeli,MATCH(ROWS($K$2:$K114),$K$2:$K$101,0)))</f>
        <v/>
      </c>
      <c r="N114" s="77" t="str">
        <f t="array" aca="1" ref="N114" ca="1">IFERROR(INDEX(DaftarPembeli,SMALL(IF(OrderIDList=$M$2,ROW(DaftarPembeli)-ROW(PartsData!E$2)+1),ROWS(PartsData!E$2:'PartsData'!E114))),"")</f>
        <v/>
      </c>
      <c r="O114" t="str">
        <f ca="1">IF(N114="","",COUNTIF(ListCariPembeli,"&lt;="&amp;$N114))</f>
        <v/>
      </c>
      <c r="P114" t="str">
        <f ca="1">IF(O114="","",INDEX(ListCariPembeli,MATCH(ROWS($O$2:$O114),$O$2:$O$201,0)))</f>
        <v/>
      </c>
      <c r="T114" s="77" t="str">
        <f t="array" aca="1" ref="T114" ca="1">IFERROR(INDEX(DaftarPembeli,SMALL(IF(OrderIDList=$S$2,ROW(DaftarPembeli)-ROW(PartsData!E$2)+1),ROWS(PartsData!E$2:'PartsData'!E114))),"")</f>
        <v/>
      </c>
      <c r="U114" s="77" t="str">
        <f ca="1">IF(T114="","",COUNTIF(ListNamaPembeli,"&lt;="&amp;$T114))</f>
        <v/>
      </c>
      <c r="V114" s="77" t="str">
        <f ca="1">IF(U114="","",INDEX(ListNamaPembeli,MATCH(ROWS($U$2:$U114),$U$2:$U$201,0)))</f>
        <v/>
      </c>
      <c r="Y114" s="77" t="str">
        <f t="array" aca="1" ref="Y114" ca="1">IFERROR(INDEX(RekapPembeli,SMALL(IF(RekapKontak=$X$2,ROW(RekapPembeli)-ROW(DataPemesanan!F$2)+1),ROWS(DataPemesanan!F$2:'DataPemesanan'!F114))),"")</f>
        <v/>
      </c>
      <c r="Z114" s="77" t="str">
        <f ca="1">IF(Y114="","",COUNTIF(DataRekapPembeli,"&lt;="&amp;$Y114))</f>
        <v/>
      </c>
      <c r="AA114" s="77" t="str">
        <f ca="1">IF(Z114="","",INDEX(DataRekapPembeli,MATCH(ROWS($Z$2:$Z114),$Z$2:$Z$201,0)))</f>
        <v/>
      </c>
    </row>
    <row r="115" spans="10:27">
      <c r="J115" t="str">
        <f t="array" aca="1" ref="J115" ca="1">IFERROR(INDEX(DaftarPembeli,SMALL(IF(OrderIDList=$I$2,ROW(DaftarPembeli)-ROW(PartsData!E$2)+1),ROWS(PartsData!E$2:'PartsData'!E115))),"")</f>
        <v/>
      </c>
      <c r="K115" t="str">
        <f ca="1">IF(J115="","",COUNTIF(ListPembeli,"&lt;="&amp;$J115))</f>
        <v/>
      </c>
      <c r="L115" t="str">
        <f ca="1">IF(K115="","",INDEX(ListPembeli,MATCH(ROWS($K$2:$K115),$K$2:$K$101,0)))</f>
        <v/>
      </c>
      <c r="N115" s="77" t="str">
        <f t="array" aca="1" ref="N115" ca="1">IFERROR(INDEX(DaftarPembeli,SMALL(IF(OrderIDList=$M$2,ROW(DaftarPembeli)-ROW(PartsData!E$2)+1),ROWS(PartsData!E$2:'PartsData'!E115))),"")</f>
        <v/>
      </c>
      <c r="O115" t="str">
        <f ca="1">IF(N115="","",COUNTIF(ListCariPembeli,"&lt;="&amp;$N115))</f>
        <v/>
      </c>
      <c r="P115" t="str">
        <f ca="1">IF(O115="","",INDEX(ListCariPembeli,MATCH(ROWS($O$2:$O115),$O$2:$O$201,0)))</f>
        <v/>
      </c>
      <c r="T115" s="77" t="str">
        <f t="array" aca="1" ref="T115" ca="1">IFERROR(INDEX(DaftarPembeli,SMALL(IF(OrderIDList=$S$2,ROW(DaftarPembeli)-ROW(PartsData!E$2)+1),ROWS(PartsData!E$2:'PartsData'!E115))),"")</f>
        <v/>
      </c>
      <c r="U115" s="77" t="str">
        <f ca="1">IF(T115="","",COUNTIF(ListNamaPembeli,"&lt;="&amp;$T115))</f>
        <v/>
      </c>
      <c r="V115" s="77" t="str">
        <f ca="1">IF(U115="","",INDEX(ListNamaPembeli,MATCH(ROWS($U$2:$U115),$U$2:$U$201,0)))</f>
        <v/>
      </c>
      <c r="Y115" s="77" t="str">
        <f t="array" aca="1" ref="Y115" ca="1">IFERROR(INDEX(RekapPembeli,SMALL(IF(RekapKontak=$X$2,ROW(RekapPembeli)-ROW(DataPemesanan!F$2)+1),ROWS(DataPemesanan!F$2:'DataPemesanan'!F115))),"")</f>
        <v/>
      </c>
      <c r="Z115" s="77" t="str">
        <f ca="1">IF(Y115="","",COUNTIF(DataRekapPembeli,"&lt;="&amp;$Y115))</f>
        <v/>
      </c>
      <c r="AA115" s="77" t="str">
        <f ca="1">IF(Z115="","",INDEX(DataRekapPembeli,MATCH(ROWS($Z$2:$Z115),$Z$2:$Z$201,0)))</f>
        <v/>
      </c>
    </row>
    <row r="116" spans="10:27">
      <c r="J116" t="str">
        <f t="array" aca="1" ref="J116" ca="1">IFERROR(INDEX(DaftarPembeli,SMALL(IF(OrderIDList=$I$2,ROW(DaftarPembeli)-ROW(PartsData!E$2)+1),ROWS(PartsData!E$2:'PartsData'!E116))),"")</f>
        <v/>
      </c>
      <c r="K116" t="str">
        <f ca="1">IF(J116="","",COUNTIF(ListPembeli,"&lt;="&amp;$J116))</f>
        <v/>
      </c>
      <c r="L116" t="str">
        <f ca="1">IF(K116="","",INDEX(ListPembeli,MATCH(ROWS($K$2:$K116),$K$2:$K$101,0)))</f>
        <v/>
      </c>
      <c r="N116" s="77" t="str">
        <f t="array" aca="1" ref="N116" ca="1">IFERROR(INDEX(DaftarPembeli,SMALL(IF(OrderIDList=$M$2,ROW(DaftarPembeli)-ROW(PartsData!E$2)+1),ROWS(PartsData!E$2:'PartsData'!E116))),"")</f>
        <v/>
      </c>
      <c r="O116" t="str">
        <f ca="1">IF(N116="","",COUNTIF(ListCariPembeli,"&lt;="&amp;$N116))</f>
        <v/>
      </c>
      <c r="P116" t="str">
        <f ca="1">IF(O116="","",INDEX(ListCariPembeli,MATCH(ROWS($O$2:$O116),$O$2:$O$201,0)))</f>
        <v/>
      </c>
      <c r="T116" s="77" t="str">
        <f t="array" aca="1" ref="T116" ca="1">IFERROR(INDEX(DaftarPembeli,SMALL(IF(OrderIDList=$S$2,ROW(DaftarPembeli)-ROW(PartsData!E$2)+1),ROWS(PartsData!E$2:'PartsData'!E116))),"")</f>
        <v/>
      </c>
      <c r="U116" s="77" t="str">
        <f ca="1">IF(T116="","",COUNTIF(ListNamaPembeli,"&lt;="&amp;$T116))</f>
        <v/>
      </c>
      <c r="V116" s="77" t="str">
        <f ca="1">IF(U116="","",INDEX(ListNamaPembeli,MATCH(ROWS($U$2:$U116),$U$2:$U$201,0)))</f>
        <v/>
      </c>
      <c r="Y116" s="77" t="str">
        <f t="array" aca="1" ref="Y116" ca="1">IFERROR(INDEX(RekapPembeli,SMALL(IF(RekapKontak=$X$2,ROW(RekapPembeli)-ROW(DataPemesanan!F$2)+1),ROWS(DataPemesanan!F$2:'DataPemesanan'!F116))),"")</f>
        <v/>
      </c>
      <c r="Z116" s="77" t="str">
        <f ca="1">IF(Y116="","",COUNTIF(DataRekapPembeli,"&lt;="&amp;$Y116))</f>
        <v/>
      </c>
      <c r="AA116" s="77" t="str">
        <f ca="1">IF(Z116="","",INDEX(DataRekapPembeli,MATCH(ROWS($Z$2:$Z116),$Z$2:$Z$201,0)))</f>
        <v/>
      </c>
    </row>
    <row r="117" spans="10:27">
      <c r="J117" t="str">
        <f t="array" aca="1" ref="J117" ca="1">IFERROR(INDEX(DaftarPembeli,SMALL(IF(OrderIDList=$I$2,ROW(DaftarPembeli)-ROW(PartsData!E$2)+1),ROWS(PartsData!E$2:'PartsData'!E117))),"")</f>
        <v/>
      </c>
      <c r="K117" t="str">
        <f ca="1">IF(J117="","",COUNTIF(ListPembeli,"&lt;="&amp;$J117))</f>
        <v/>
      </c>
      <c r="L117" t="str">
        <f ca="1">IF(K117="","",INDEX(ListPembeli,MATCH(ROWS($K$2:$K117),$K$2:$K$101,0)))</f>
        <v/>
      </c>
      <c r="N117" s="77" t="str">
        <f t="array" aca="1" ref="N117" ca="1">IFERROR(INDEX(DaftarPembeli,SMALL(IF(OrderIDList=$M$2,ROW(DaftarPembeli)-ROW(PartsData!E$2)+1),ROWS(PartsData!E$2:'PartsData'!E117))),"")</f>
        <v/>
      </c>
      <c r="O117" t="str">
        <f ca="1">IF(N117="","",COUNTIF(ListCariPembeli,"&lt;="&amp;$N117))</f>
        <v/>
      </c>
      <c r="P117" t="str">
        <f ca="1">IF(O117="","",INDEX(ListCariPembeli,MATCH(ROWS($O$2:$O117),$O$2:$O$201,0)))</f>
        <v/>
      </c>
      <c r="T117" s="77" t="str">
        <f t="array" aca="1" ref="T117" ca="1">IFERROR(INDEX(DaftarPembeli,SMALL(IF(OrderIDList=$S$2,ROW(DaftarPembeli)-ROW(PartsData!E$2)+1),ROWS(PartsData!E$2:'PartsData'!E117))),"")</f>
        <v/>
      </c>
      <c r="U117" s="77" t="str">
        <f ca="1">IF(T117="","",COUNTIF(ListNamaPembeli,"&lt;="&amp;$T117))</f>
        <v/>
      </c>
      <c r="V117" s="77" t="str">
        <f ca="1">IF(U117="","",INDEX(ListNamaPembeli,MATCH(ROWS($U$2:$U117),$U$2:$U$201,0)))</f>
        <v/>
      </c>
      <c r="Y117" s="77" t="str">
        <f t="array" aca="1" ref="Y117" ca="1">IFERROR(INDEX(RekapPembeli,SMALL(IF(RekapKontak=$X$2,ROW(RekapPembeli)-ROW(DataPemesanan!F$2)+1),ROWS(DataPemesanan!F$2:'DataPemesanan'!F117))),"")</f>
        <v/>
      </c>
      <c r="Z117" s="77" t="str">
        <f ca="1">IF(Y117="","",COUNTIF(DataRekapPembeli,"&lt;="&amp;$Y117))</f>
        <v/>
      </c>
      <c r="AA117" s="77" t="str">
        <f ca="1">IF(Z117="","",INDEX(DataRekapPembeli,MATCH(ROWS($Z$2:$Z117),$Z$2:$Z$201,0)))</f>
        <v/>
      </c>
    </row>
    <row r="118" spans="10:27">
      <c r="J118" t="str">
        <f t="array" aca="1" ref="J118" ca="1">IFERROR(INDEX(DaftarPembeli,SMALL(IF(OrderIDList=$I$2,ROW(DaftarPembeli)-ROW(PartsData!E$2)+1),ROWS(PartsData!E$2:'PartsData'!E118))),"")</f>
        <v/>
      </c>
      <c r="K118" t="str">
        <f ca="1">IF(J118="","",COUNTIF(ListPembeli,"&lt;="&amp;$J118))</f>
        <v/>
      </c>
      <c r="L118" t="str">
        <f ca="1">IF(K118="","",INDEX(ListPembeli,MATCH(ROWS($K$2:$K118),$K$2:$K$101,0)))</f>
        <v/>
      </c>
      <c r="N118" s="77" t="str">
        <f t="array" aca="1" ref="N118" ca="1">IFERROR(INDEX(DaftarPembeli,SMALL(IF(OrderIDList=$M$2,ROW(DaftarPembeli)-ROW(PartsData!E$2)+1),ROWS(PartsData!E$2:'PartsData'!E118))),"")</f>
        <v/>
      </c>
      <c r="O118" t="str">
        <f ca="1">IF(N118="","",COUNTIF(ListCariPembeli,"&lt;="&amp;$N118))</f>
        <v/>
      </c>
      <c r="P118" t="str">
        <f ca="1">IF(O118="","",INDEX(ListCariPembeli,MATCH(ROWS($O$2:$O118),$O$2:$O$201,0)))</f>
        <v/>
      </c>
      <c r="T118" s="77" t="str">
        <f t="array" aca="1" ref="T118" ca="1">IFERROR(INDEX(DaftarPembeli,SMALL(IF(OrderIDList=$S$2,ROW(DaftarPembeli)-ROW(PartsData!E$2)+1),ROWS(PartsData!E$2:'PartsData'!E118))),"")</f>
        <v/>
      </c>
      <c r="U118" s="77" t="str">
        <f ca="1">IF(T118="","",COUNTIF(ListNamaPembeli,"&lt;="&amp;$T118))</f>
        <v/>
      </c>
      <c r="V118" s="77" t="str">
        <f ca="1">IF(U118="","",INDEX(ListNamaPembeli,MATCH(ROWS($U$2:$U118),$U$2:$U$201,0)))</f>
        <v/>
      </c>
      <c r="Y118" s="77" t="str">
        <f t="array" aca="1" ref="Y118" ca="1">IFERROR(INDEX(RekapPembeli,SMALL(IF(RekapKontak=$X$2,ROW(RekapPembeli)-ROW(DataPemesanan!F$2)+1),ROWS(DataPemesanan!F$2:'DataPemesanan'!F118))),"")</f>
        <v/>
      </c>
      <c r="Z118" s="77" t="str">
        <f ca="1">IF(Y118="","",COUNTIF(DataRekapPembeli,"&lt;="&amp;$Y118))</f>
        <v/>
      </c>
      <c r="AA118" s="77" t="str">
        <f ca="1">IF(Z118="","",INDEX(DataRekapPembeli,MATCH(ROWS($Z$2:$Z118),$Z$2:$Z$201,0)))</f>
        <v/>
      </c>
    </row>
    <row r="119" spans="10:27">
      <c r="J119" t="str">
        <f t="array" aca="1" ref="J119" ca="1">IFERROR(INDEX(DaftarPembeli,SMALL(IF(OrderIDList=$I$2,ROW(DaftarPembeli)-ROW(PartsData!E$2)+1),ROWS(PartsData!E$2:'PartsData'!E119))),"")</f>
        <v/>
      </c>
      <c r="K119" t="str">
        <f ca="1">IF(J119="","",COUNTIF(ListPembeli,"&lt;="&amp;$J119))</f>
        <v/>
      </c>
      <c r="L119" t="str">
        <f ca="1">IF(K119="","",INDEX(ListPembeli,MATCH(ROWS($K$2:$K119),$K$2:$K$101,0)))</f>
        <v/>
      </c>
      <c r="N119" s="77" t="str">
        <f t="array" aca="1" ref="N119" ca="1">IFERROR(INDEX(DaftarPembeli,SMALL(IF(OrderIDList=$M$2,ROW(DaftarPembeli)-ROW(PartsData!E$2)+1),ROWS(PartsData!E$2:'PartsData'!E119))),"")</f>
        <v/>
      </c>
      <c r="O119" t="str">
        <f ca="1">IF(N119="","",COUNTIF(ListCariPembeli,"&lt;="&amp;$N119))</f>
        <v/>
      </c>
      <c r="P119" t="str">
        <f ca="1">IF(O119="","",INDEX(ListCariPembeli,MATCH(ROWS($O$2:$O119),$O$2:$O$201,0)))</f>
        <v/>
      </c>
      <c r="T119" s="77" t="str">
        <f t="array" aca="1" ref="T119" ca="1">IFERROR(INDEX(DaftarPembeli,SMALL(IF(OrderIDList=$S$2,ROW(DaftarPembeli)-ROW(PartsData!E$2)+1),ROWS(PartsData!E$2:'PartsData'!E119))),"")</f>
        <v/>
      </c>
      <c r="U119" s="77" t="str">
        <f ca="1">IF(T119="","",COUNTIF(ListNamaPembeli,"&lt;="&amp;$T119))</f>
        <v/>
      </c>
      <c r="V119" s="77" t="str">
        <f ca="1">IF(U119="","",INDEX(ListNamaPembeli,MATCH(ROWS($U$2:$U119),$U$2:$U$201,0)))</f>
        <v/>
      </c>
      <c r="Y119" s="77" t="str">
        <f t="array" aca="1" ref="Y119" ca="1">IFERROR(INDEX(RekapPembeli,SMALL(IF(RekapKontak=$X$2,ROW(RekapPembeli)-ROW(DataPemesanan!F$2)+1),ROWS(DataPemesanan!F$2:'DataPemesanan'!F119))),"")</f>
        <v/>
      </c>
      <c r="Z119" s="77" t="str">
        <f ca="1">IF(Y119="","",COUNTIF(DataRekapPembeli,"&lt;="&amp;$Y119))</f>
        <v/>
      </c>
      <c r="AA119" s="77" t="str">
        <f ca="1">IF(Z119="","",INDEX(DataRekapPembeli,MATCH(ROWS($Z$2:$Z119),$Z$2:$Z$201,0)))</f>
        <v/>
      </c>
    </row>
    <row r="120" spans="10:27">
      <c r="J120" t="str">
        <f t="array" aca="1" ref="J120" ca="1">IFERROR(INDEX(DaftarPembeli,SMALL(IF(OrderIDList=$I$2,ROW(DaftarPembeli)-ROW(PartsData!E$2)+1),ROWS(PartsData!E$2:'PartsData'!E120))),"")</f>
        <v/>
      </c>
      <c r="K120" t="str">
        <f ca="1">IF(J120="","",COUNTIF(ListPembeli,"&lt;="&amp;$J120))</f>
        <v/>
      </c>
      <c r="L120" t="str">
        <f ca="1">IF(K120="","",INDEX(ListPembeli,MATCH(ROWS($K$2:$K120),$K$2:$K$101,0)))</f>
        <v/>
      </c>
      <c r="N120" s="77" t="str">
        <f t="array" aca="1" ref="N120" ca="1">IFERROR(INDEX(DaftarPembeli,SMALL(IF(OrderIDList=$M$2,ROW(DaftarPembeli)-ROW(PartsData!E$2)+1),ROWS(PartsData!E$2:'PartsData'!E120))),"")</f>
        <v/>
      </c>
      <c r="O120" t="str">
        <f ca="1">IF(N120="","",COUNTIF(ListCariPembeli,"&lt;="&amp;$N120))</f>
        <v/>
      </c>
      <c r="P120" t="str">
        <f ca="1">IF(O120="","",INDEX(ListCariPembeli,MATCH(ROWS($O$2:$O120),$O$2:$O$201,0)))</f>
        <v/>
      </c>
      <c r="T120" s="77" t="str">
        <f t="array" aca="1" ref="T120" ca="1">IFERROR(INDEX(DaftarPembeli,SMALL(IF(OrderIDList=$S$2,ROW(DaftarPembeli)-ROW(PartsData!E$2)+1),ROWS(PartsData!E$2:'PartsData'!E120))),"")</f>
        <v/>
      </c>
      <c r="U120" s="77" t="str">
        <f ca="1">IF(T120="","",COUNTIF(ListNamaPembeli,"&lt;="&amp;$T120))</f>
        <v/>
      </c>
      <c r="V120" s="77" t="str">
        <f ca="1">IF(U120="","",INDEX(ListNamaPembeli,MATCH(ROWS($U$2:$U120),$U$2:$U$201,0)))</f>
        <v/>
      </c>
      <c r="Y120" s="77" t="str">
        <f t="array" aca="1" ref="Y120" ca="1">IFERROR(INDEX(RekapPembeli,SMALL(IF(RekapKontak=$X$2,ROW(RekapPembeli)-ROW(DataPemesanan!F$2)+1),ROWS(DataPemesanan!F$2:'DataPemesanan'!F120))),"")</f>
        <v/>
      </c>
      <c r="Z120" s="77" t="str">
        <f ca="1">IF(Y120="","",COUNTIF(DataRekapPembeli,"&lt;="&amp;$Y120))</f>
        <v/>
      </c>
      <c r="AA120" s="77" t="str">
        <f ca="1">IF(Z120="","",INDEX(DataRekapPembeli,MATCH(ROWS($Z$2:$Z120),$Z$2:$Z$201,0)))</f>
        <v/>
      </c>
    </row>
    <row r="121" spans="10:27">
      <c r="J121" t="str">
        <f t="array" aca="1" ref="J121" ca="1">IFERROR(INDEX(DaftarPembeli,SMALL(IF(OrderIDList=$I$2,ROW(DaftarPembeli)-ROW(PartsData!E$2)+1),ROWS(PartsData!E$2:'PartsData'!E121))),"")</f>
        <v/>
      </c>
      <c r="K121" t="str">
        <f ca="1">IF(J121="","",COUNTIF(ListPembeli,"&lt;="&amp;$J121))</f>
        <v/>
      </c>
      <c r="L121" t="str">
        <f ca="1">IF(K121="","",INDEX(ListPembeli,MATCH(ROWS($K$2:$K121),$K$2:$K$101,0)))</f>
        <v/>
      </c>
      <c r="N121" s="77" t="str">
        <f t="array" aca="1" ref="N121" ca="1">IFERROR(INDEX(DaftarPembeli,SMALL(IF(OrderIDList=$M$2,ROW(DaftarPembeli)-ROW(PartsData!E$2)+1),ROWS(PartsData!E$2:'PartsData'!E121))),"")</f>
        <v/>
      </c>
      <c r="O121" t="str">
        <f ca="1">IF(N121="","",COUNTIF(ListCariPembeli,"&lt;="&amp;$N121))</f>
        <v/>
      </c>
      <c r="P121" t="str">
        <f ca="1">IF(O121="","",INDEX(ListCariPembeli,MATCH(ROWS($O$2:$O121),$O$2:$O$201,0)))</f>
        <v/>
      </c>
      <c r="T121" s="77" t="str">
        <f t="array" aca="1" ref="T121" ca="1">IFERROR(INDEX(DaftarPembeli,SMALL(IF(OrderIDList=$S$2,ROW(DaftarPembeli)-ROW(PartsData!E$2)+1),ROWS(PartsData!E$2:'PartsData'!E121))),"")</f>
        <v/>
      </c>
      <c r="U121" s="77" t="str">
        <f ca="1">IF(T121="","",COUNTIF(ListNamaPembeli,"&lt;="&amp;$T121))</f>
        <v/>
      </c>
      <c r="V121" s="77" t="str">
        <f ca="1">IF(U121="","",INDEX(ListNamaPembeli,MATCH(ROWS($U$2:$U121),$U$2:$U$201,0)))</f>
        <v/>
      </c>
      <c r="Y121" s="77" t="str">
        <f t="array" aca="1" ref="Y121" ca="1">IFERROR(INDEX(RekapPembeli,SMALL(IF(RekapKontak=$X$2,ROW(RekapPembeli)-ROW(DataPemesanan!F$2)+1),ROWS(DataPemesanan!F$2:'DataPemesanan'!F121))),"")</f>
        <v/>
      </c>
      <c r="Z121" s="77" t="str">
        <f ca="1">IF(Y121="","",COUNTIF(DataRekapPembeli,"&lt;="&amp;$Y121))</f>
        <v/>
      </c>
      <c r="AA121" s="77" t="str">
        <f ca="1">IF(Z121="","",INDEX(DataRekapPembeli,MATCH(ROWS($Z$2:$Z121),$Z$2:$Z$201,0)))</f>
        <v/>
      </c>
    </row>
    <row r="122" spans="10:27">
      <c r="J122" t="str">
        <f t="array" aca="1" ref="J122" ca="1">IFERROR(INDEX(DaftarPembeli,SMALL(IF(OrderIDList=$I$2,ROW(DaftarPembeli)-ROW(PartsData!E$2)+1),ROWS(PartsData!E$2:'PartsData'!E122))),"")</f>
        <v/>
      </c>
      <c r="K122" t="str">
        <f ca="1">IF(J122="","",COUNTIF(ListPembeli,"&lt;="&amp;$J122))</f>
        <v/>
      </c>
      <c r="L122" t="str">
        <f ca="1">IF(K122="","",INDEX(ListPembeli,MATCH(ROWS($K$2:$K122),$K$2:$K$101,0)))</f>
        <v/>
      </c>
      <c r="N122" s="77" t="str">
        <f t="array" aca="1" ref="N122" ca="1">IFERROR(INDEX(DaftarPembeli,SMALL(IF(OrderIDList=$M$2,ROW(DaftarPembeli)-ROW(PartsData!E$2)+1),ROWS(PartsData!E$2:'PartsData'!E122))),"")</f>
        <v/>
      </c>
      <c r="O122" t="str">
        <f ca="1">IF(N122="","",COUNTIF(ListCariPembeli,"&lt;="&amp;$N122))</f>
        <v/>
      </c>
      <c r="P122" t="str">
        <f ca="1">IF(O122="","",INDEX(ListCariPembeli,MATCH(ROWS($O$2:$O122),$O$2:$O$201,0)))</f>
        <v/>
      </c>
      <c r="T122" s="77" t="str">
        <f t="array" aca="1" ref="T122" ca="1">IFERROR(INDEX(DaftarPembeli,SMALL(IF(OrderIDList=$S$2,ROW(DaftarPembeli)-ROW(PartsData!E$2)+1),ROWS(PartsData!E$2:'PartsData'!E122))),"")</f>
        <v/>
      </c>
      <c r="U122" s="77" t="str">
        <f ca="1">IF(T122="","",COUNTIF(ListNamaPembeli,"&lt;="&amp;$T122))</f>
        <v/>
      </c>
      <c r="V122" s="77" t="str">
        <f ca="1">IF(U122="","",INDEX(ListNamaPembeli,MATCH(ROWS($U$2:$U122),$U$2:$U$201,0)))</f>
        <v/>
      </c>
      <c r="Y122" s="77" t="str">
        <f t="array" aca="1" ref="Y122" ca="1">IFERROR(INDEX(RekapPembeli,SMALL(IF(RekapKontak=$X$2,ROW(RekapPembeli)-ROW(DataPemesanan!F$2)+1),ROWS(DataPemesanan!F$2:'DataPemesanan'!F122))),"")</f>
        <v/>
      </c>
      <c r="Z122" s="77" t="str">
        <f ca="1">IF(Y122="","",COUNTIF(DataRekapPembeli,"&lt;="&amp;$Y122))</f>
        <v/>
      </c>
      <c r="AA122" s="77" t="str">
        <f ca="1">IF(Z122="","",INDEX(DataRekapPembeli,MATCH(ROWS($Z$2:$Z122),$Z$2:$Z$201,0)))</f>
        <v/>
      </c>
    </row>
    <row r="123" spans="10:27">
      <c r="J123" t="str">
        <f t="array" aca="1" ref="J123" ca="1">IFERROR(INDEX(DaftarPembeli,SMALL(IF(OrderIDList=$I$2,ROW(DaftarPembeli)-ROW(PartsData!E$2)+1),ROWS(PartsData!E$2:'PartsData'!E123))),"")</f>
        <v/>
      </c>
      <c r="K123" t="str">
        <f ca="1">IF(J123="","",COUNTIF(ListPembeli,"&lt;="&amp;$J123))</f>
        <v/>
      </c>
      <c r="L123" t="str">
        <f ca="1">IF(K123="","",INDEX(ListPembeli,MATCH(ROWS($K$2:$K123),$K$2:$K$101,0)))</f>
        <v/>
      </c>
      <c r="N123" s="77" t="str">
        <f t="array" aca="1" ref="N123" ca="1">IFERROR(INDEX(DaftarPembeli,SMALL(IF(OrderIDList=$M$2,ROW(DaftarPembeli)-ROW(PartsData!E$2)+1),ROWS(PartsData!E$2:'PartsData'!E123))),"")</f>
        <v/>
      </c>
      <c r="O123" t="str">
        <f ca="1">IF(N123="","",COUNTIF(ListCariPembeli,"&lt;="&amp;$N123))</f>
        <v/>
      </c>
      <c r="P123" t="str">
        <f ca="1">IF(O123="","",INDEX(ListCariPembeli,MATCH(ROWS($O$2:$O123),$O$2:$O$201,0)))</f>
        <v/>
      </c>
      <c r="T123" s="77" t="str">
        <f t="array" aca="1" ref="T123" ca="1">IFERROR(INDEX(DaftarPembeli,SMALL(IF(OrderIDList=$S$2,ROW(DaftarPembeli)-ROW(PartsData!E$2)+1),ROWS(PartsData!E$2:'PartsData'!E123))),"")</f>
        <v/>
      </c>
      <c r="U123" s="77" t="str">
        <f ca="1">IF(T123="","",COUNTIF(ListNamaPembeli,"&lt;="&amp;$T123))</f>
        <v/>
      </c>
      <c r="V123" s="77" t="str">
        <f ca="1">IF(U123="","",INDEX(ListNamaPembeli,MATCH(ROWS($U$2:$U123),$U$2:$U$201,0)))</f>
        <v/>
      </c>
      <c r="Y123" s="77" t="str">
        <f t="array" aca="1" ref="Y123" ca="1">IFERROR(INDEX(RekapPembeli,SMALL(IF(RekapKontak=$X$2,ROW(RekapPembeli)-ROW(DataPemesanan!F$2)+1),ROWS(DataPemesanan!F$2:'DataPemesanan'!F123))),"")</f>
        <v/>
      </c>
      <c r="Z123" s="77" t="str">
        <f ca="1">IF(Y123="","",COUNTIF(DataRekapPembeli,"&lt;="&amp;$Y123))</f>
        <v/>
      </c>
      <c r="AA123" s="77" t="str">
        <f ca="1">IF(Z123="","",INDEX(DataRekapPembeli,MATCH(ROWS($Z$2:$Z123),$Z$2:$Z$201,0)))</f>
        <v/>
      </c>
    </row>
    <row r="124" spans="10:27">
      <c r="J124" t="str">
        <f t="array" aca="1" ref="J124" ca="1">IFERROR(INDEX(DaftarPembeli,SMALL(IF(OrderIDList=$I$2,ROW(DaftarPembeli)-ROW(PartsData!E$2)+1),ROWS(PartsData!E$2:'PartsData'!E124))),"")</f>
        <v/>
      </c>
      <c r="K124" t="str">
        <f ca="1">IF(J124="","",COUNTIF(ListPembeli,"&lt;="&amp;$J124))</f>
        <v/>
      </c>
      <c r="L124" t="str">
        <f ca="1">IF(K124="","",INDEX(ListPembeli,MATCH(ROWS($K$2:$K124),$K$2:$K$101,0)))</f>
        <v/>
      </c>
      <c r="N124" s="77" t="str">
        <f t="array" aca="1" ref="N124" ca="1">IFERROR(INDEX(DaftarPembeli,SMALL(IF(OrderIDList=$M$2,ROW(DaftarPembeli)-ROW(PartsData!E$2)+1),ROWS(PartsData!E$2:'PartsData'!E124))),"")</f>
        <v/>
      </c>
      <c r="O124" t="str">
        <f ca="1">IF(N124="","",COUNTIF(ListCariPembeli,"&lt;="&amp;$N124))</f>
        <v/>
      </c>
      <c r="P124" t="str">
        <f ca="1">IF(O124="","",INDEX(ListCariPembeli,MATCH(ROWS($O$2:$O124),$O$2:$O$201,0)))</f>
        <v/>
      </c>
      <c r="T124" s="77" t="str">
        <f t="array" aca="1" ref="T124" ca="1">IFERROR(INDEX(DaftarPembeli,SMALL(IF(OrderIDList=$S$2,ROW(DaftarPembeli)-ROW(PartsData!E$2)+1),ROWS(PartsData!E$2:'PartsData'!E124))),"")</f>
        <v/>
      </c>
      <c r="U124" s="77" t="str">
        <f ca="1">IF(T124="","",COUNTIF(ListNamaPembeli,"&lt;="&amp;$T124))</f>
        <v/>
      </c>
      <c r="V124" s="77" t="str">
        <f ca="1">IF(U124="","",INDEX(ListNamaPembeli,MATCH(ROWS($U$2:$U124),$U$2:$U$201,0)))</f>
        <v/>
      </c>
      <c r="Y124" s="77" t="str">
        <f t="array" aca="1" ref="Y124" ca="1">IFERROR(INDEX(RekapPembeli,SMALL(IF(RekapKontak=$X$2,ROW(RekapPembeli)-ROW(DataPemesanan!F$2)+1),ROWS(DataPemesanan!F$2:'DataPemesanan'!F124))),"")</f>
        <v/>
      </c>
      <c r="Z124" s="77" t="str">
        <f ca="1">IF(Y124="","",COUNTIF(DataRekapPembeli,"&lt;="&amp;$Y124))</f>
        <v/>
      </c>
      <c r="AA124" s="77" t="str">
        <f ca="1">IF(Z124="","",INDEX(DataRekapPembeli,MATCH(ROWS($Z$2:$Z124),$Z$2:$Z$201,0)))</f>
        <v/>
      </c>
    </row>
    <row r="125" spans="10:27">
      <c r="J125" t="str">
        <f t="array" aca="1" ref="J125" ca="1">IFERROR(INDEX(DaftarPembeli,SMALL(IF(OrderIDList=$I$2,ROW(DaftarPembeli)-ROW(PartsData!E$2)+1),ROWS(PartsData!E$2:'PartsData'!E125))),"")</f>
        <v/>
      </c>
      <c r="K125" t="str">
        <f ca="1">IF(J125="","",COUNTIF(ListPembeli,"&lt;="&amp;$J125))</f>
        <v/>
      </c>
      <c r="L125" t="str">
        <f ca="1">IF(K125="","",INDEX(ListPembeli,MATCH(ROWS($K$2:$K125),$K$2:$K$101,0)))</f>
        <v/>
      </c>
      <c r="N125" s="77" t="str">
        <f t="array" aca="1" ref="N125" ca="1">IFERROR(INDEX(DaftarPembeli,SMALL(IF(OrderIDList=$M$2,ROW(DaftarPembeli)-ROW(PartsData!E$2)+1),ROWS(PartsData!E$2:'PartsData'!E125))),"")</f>
        <v/>
      </c>
      <c r="O125" t="str">
        <f ca="1">IF(N125="","",COUNTIF(ListCariPembeli,"&lt;="&amp;$N125))</f>
        <v/>
      </c>
      <c r="P125" t="str">
        <f ca="1">IF(O125="","",INDEX(ListCariPembeli,MATCH(ROWS($O$2:$O125),$O$2:$O$201,0)))</f>
        <v/>
      </c>
      <c r="T125" s="77" t="str">
        <f t="array" aca="1" ref="T125" ca="1">IFERROR(INDEX(DaftarPembeli,SMALL(IF(OrderIDList=$S$2,ROW(DaftarPembeli)-ROW(PartsData!E$2)+1),ROWS(PartsData!E$2:'PartsData'!E125))),"")</f>
        <v/>
      </c>
      <c r="U125" s="77" t="str">
        <f ca="1">IF(T125="","",COUNTIF(ListNamaPembeli,"&lt;="&amp;$T125))</f>
        <v/>
      </c>
      <c r="V125" s="77" t="str">
        <f ca="1">IF(U125="","",INDEX(ListNamaPembeli,MATCH(ROWS($U$2:$U125),$U$2:$U$201,0)))</f>
        <v/>
      </c>
      <c r="Y125" s="77" t="str">
        <f t="array" aca="1" ref="Y125" ca="1">IFERROR(INDEX(RekapPembeli,SMALL(IF(RekapKontak=$X$2,ROW(RekapPembeli)-ROW(DataPemesanan!F$2)+1),ROWS(DataPemesanan!F$2:'DataPemesanan'!F125))),"")</f>
        <v/>
      </c>
      <c r="Z125" s="77" t="str">
        <f ca="1">IF(Y125="","",COUNTIF(DataRekapPembeli,"&lt;="&amp;$Y125))</f>
        <v/>
      </c>
      <c r="AA125" s="77" t="str">
        <f ca="1">IF(Z125="","",INDEX(DataRekapPembeli,MATCH(ROWS($Z$2:$Z125),$Z$2:$Z$201,0)))</f>
        <v/>
      </c>
    </row>
    <row r="126" spans="10:27">
      <c r="J126" t="str">
        <f t="array" aca="1" ref="J126" ca="1">IFERROR(INDEX(DaftarPembeli,SMALL(IF(OrderIDList=$I$2,ROW(DaftarPembeli)-ROW(PartsData!E$2)+1),ROWS(PartsData!E$2:'PartsData'!E126))),"")</f>
        <v/>
      </c>
      <c r="K126" t="str">
        <f ca="1">IF(J126="","",COUNTIF(ListPembeli,"&lt;="&amp;$J126))</f>
        <v/>
      </c>
      <c r="L126" t="str">
        <f ca="1">IF(K126="","",INDEX(ListPembeli,MATCH(ROWS($K$2:$K126),$K$2:$K$101,0)))</f>
        <v/>
      </c>
      <c r="N126" s="77" t="str">
        <f t="array" aca="1" ref="N126" ca="1">IFERROR(INDEX(DaftarPembeli,SMALL(IF(OrderIDList=$M$2,ROW(DaftarPembeli)-ROW(PartsData!E$2)+1),ROWS(PartsData!E$2:'PartsData'!E126))),"")</f>
        <v/>
      </c>
      <c r="O126" t="str">
        <f ca="1">IF(N126="","",COUNTIF(ListCariPembeli,"&lt;="&amp;$N126))</f>
        <v/>
      </c>
      <c r="P126" t="str">
        <f ca="1">IF(O126="","",INDEX(ListCariPembeli,MATCH(ROWS($O$2:$O126),$O$2:$O$201,0)))</f>
        <v/>
      </c>
      <c r="T126" s="77" t="str">
        <f t="array" aca="1" ref="T126" ca="1">IFERROR(INDEX(DaftarPembeli,SMALL(IF(OrderIDList=$S$2,ROW(DaftarPembeli)-ROW(PartsData!E$2)+1),ROWS(PartsData!E$2:'PartsData'!E126))),"")</f>
        <v/>
      </c>
      <c r="U126" s="77" t="str">
        <f ca="1">IF(T126="","",COUNTIF(ListNamaPembeli,"&lt;="&amp;$T126))</f>
        <v/>
      </c>
      <c r="V126" s="77" t="str">
        <f ca="1">IF(U126="","",INDEX(ListNamaPembeli,MATCH(ROWS($U$2:$U126),$U$2:$U$201,0)))</f>
        <v/>
      </c>
      <c r="Y126" s="77" t="str">
        <f t="array" aca="1" ref="Y126" ca="1">IFERROR(INDEX(RekapPembeli,SMALL(IF(RekapKontak=$X$2,ROW(RekapPembeli)-ROW(DataPemesanan!F$2)+1),ROWS(DataPemesanan!F$2:'DataPemesanan'!F126))),"")</f>
        <v/>
      </c>
      <c r="Z126" s="77" t="str">
        <f ca="1">IF(Y126="","",COUNTIF(DataRekapPembeli,"&lt;="&amp;$Y126))</f>
        <v/>
      </c>
      <c r="AA126" s="77" t="str">
        <f ca="1">IF(Z126="","",INDEX(DataRekapPembeli,MATCH(ROWS($Z$2:$Z126),$Z$2:$Z$201,0)))</f>
        <v/>
      </c>
    </row>
    <row r="127" spans="10:27">
      <c r="J127" t="str">
        <f t="array" aca="1" ref="J127" ca="1">IFERROR(INDEX(DaftarPembeli,SMALL(IF(OrderIDList=$I$2,ROW(DaftarPembeli)-ROW(PartsData!E$2)+1),ROWS(PartsData!E$2:'PartsData'!E127))),"")</f>
        <v/>
      </c>
      <c r="K127" t="str">
        <f ca="1">IF(J127="","",COUNTIF(ListPembeli,"&lt;="&amp;$J127))</f>
        <v/>
      </c>
      <c r="L127" t="str">
        <f ca="1">IF(K127="","",INDEX(ListPembeli,MATCH(ROWS($K$2:$K127),$K$2:$K$101,0)))</f>
        <v/>
      </c>
      <c r="N127" s="77" t="str">
        <f t="array" aca="1" ref="N127" ca="1">IFERROR(INDEX(DaftarPembeli,SMALL(IF(OrderIDList=$M$2,ROW(DaftarPembeli)-ROW(PartsData!E$2)+1),ROWS(PartsData!E$2:'PartsData'!E127))),"")</f>
        <v/>
      </c>
      <c r="O127" t="str">
        <f ca="1">IF(N127="","",COUNTIF(ListCariPembeli,"&lt;="&amp;$N127))</f>
        <v/>
      </c>
      <c r="P127" t="str">
        <f ca="1">IF(O127="","",INDEX(ListCariPembeli,MATCH(ROWS($O$2:$O127),$O$2:$O$201,0)))</f>
        <v/>
      </c>
      <c r="T127" s="77" t="str">
        <f t="array" aca="1" ref="T127" ca="1">IFERROR(INDEX(DaftarPembeli,SMALL(IF(OrderIDList=$S$2,ROW(DaftarPembeli)-ROW(PartsData!E$2)+1),ROWS(PartsData!E$2:'PartsData'!E127))),"")</f>
        <v/>
      </c>
      <c r="U127" s="77" t="str">
        <f ca="1">IF(T127="","",COUNTIF(ListNamaPembeli,"&lt;="&amp;$T127))</f>
        <v/>
      </c>
      <c r="V127" s="77" t="str">
        <f ca="1">IF(U127="","",INDEX(ListNamaPembeli,MATCH(ROWS($U$2:$U127),$U$2:$U$201,0)))</f>
        <v/>
      </c>
      <c r="Y127" s="77" t="str">
        <f t="array" aca="1" ref="Y127" ca="1">IFERROR(INDEX(RekapPembeli,SMALL(IF(RekapKontak=$X$2,ROW(RekapPembeli)-ROW(DataPemesanan!F$2)+1),ROWS(DataPemesanan!F$2:'DataPemesanan'!F127))),"")</f>
        <v/>
      </c>
      <c r="Z127" s="77" t="str">
        <f ca="1">IF(Y127="","",COUNTIF(DataRekapPembeli,"&lt;="&amp;$Y127))</f>
        <v/>
      </c>
      <c r="AA127" s="77" t="str">
        <f ca="1">IF(Z127="","",INDEX(DataRekapPembeli,MATCH(ROWS($Z$2:$Z127),$Z$2:$Z$201,0)))</f>
        <v/>
      </c>
    </row>
    <row r="128" spans="10:27">
      <c r="J128" t="str">
        <f t="array" aca="1" ref="J128" ca="1">IFERROR(INDEX(DaftarPembeli,SMALL(IF(OrderIDList=$I$2,ROW(DaftarPembeli)-ROW(PartsData!E$2)+1),ROWS(PartsData!E$2:'PartsData'!E128))),"")</f>
        <v/>
      </c>
      <c r="K128" t="str">
        <f ca="1">IF(J128="","",COUNTIF(ListPembeli,"&lt;="&amp;$J128))</f>
        <v/>
      </c>
      <c r="L128" t="str">
        <f ca="1">IF(K128="","",INDEX(ListPembeli,MATCH(ROWS($K$2:$K128),$K$2:$K$101,0)))</f>
        <v/>
      </c>
      <c r="N128" s="77" t="str">
        <f t="array" aca="1" ref="N128" ca="1">IFERROR(INDEX(DaftarPembeli,SMALL(IF(OrderIDList=$M$2,ROW(DaftarPembeli)-ROW(PartsData!E$2)+1),ROWS(PartsData!E$2:'PartsData'!E128))),"")</f>
        <v/>
      </c>
      <c r="O128" t="str">
        <f ca="1">IF(N128="","",COUNTIF(ListCariPembeli,"&lt;="&amp;$N128))</f>
        <v/>
      </c>
      <c r="P128" t="str">
        <f ca="1">IF(O128="","",INDEX(ListCariPembeli,MATCH(ROWS($O$2:$O128),$O$2:$O$201,0)))</f>
        <v/>
      </c>
      <c r="T128" s="77" t="str">
        <f t="array" aca="1" ref="T128" ca="1">IFERROR(INDEX(DaftarPembeli,SMALL(IF(OrderIDList=$S$2,ROW(DaftarPembeli)-ROW(PartsData!E$2)+1),ROWS(PartsData!E$2:'PartsData'!E128))),"")</f>
        <v/>
      </c>
      <c r="U128" s="77" t="str">
        <f ca="1">IF(T128="","",COUNTIF(ListNamaPembeli,"&lt;="&amp;$T128))</f>
        <v/>
      </c>
      <c r="V128" s="77" t="str">
        <f ca="1">IF(U128="","",INDEX(ListNamaPembeli,MATCH(ROWS($U$2:$U128),$U$2:$U$201,0)))</f>
        <v/>
      </c>
      <c r="Y128" s="77" t="str">
        <f t="array" aca="1" ref="Y128" ca="1">IFERROR(INDEX(RekapPembeli,SMALL(IF(RekapKontak=$X$2,ROW(RekapPembeli)-ROW(DataPemesanan!F$2)+1),ROWS(DataPemesanan!F$2:'DataPemesanan'!F128))),"")</f>
        <v/>
      </c>
      <c r="Z128" s="77" t="str">
        <f ca="1">IF(Y128="","",COUNTIF(DataRekapPembeli,"&lt;="&amp;$Y128))</f>
        <v/>
      </c>
      <c r="AA128" s="77" t="str">
        <f ca="1">IF(Z128="","",INDEX(DataRekapPembeli,MATCH(ROWS($Z$2:$Z128),$Z$2:$Z$201,0)))</f>
        <v/>
      </c>
    </row>
    <row r="129" spans="10:27">
      <c r="J129" t="str">
        <f t="array" aca="1" ref="J129" ca="1">IFERROR(INDEX(DaftarPembeli,SMALL(IF(OrderIDList=$I$2,ROW(DaftarPembeli)-ROW(PartsData!E$2)+1),ROWS(PartsData!E$2:'PartsData'!E129))),"")</f>
        <v/>
      </c>
      <c r="K129" t="str">
        <f ca="1">IF(J129="","",COUNTIF(ListPembeli,"&lt;="&amp;$J129))</f>
        <v/>
      </c>
      <c r="L129" t="str">
        <f ca="1">IF(K129="","",INDEX(ListPembeli,MATCH(ROWS($K$2:$K129),$K$2:$K$101,0)))</f>
        <v/>
      </c>
      <c r="N129" s="77" t="str">
        <f t="array" aca="1" ref="N129" ca="1">IFERROR(INDEX(DaftarPembeli,SMALL(IF(OrderIDList=$M$2,ROW(DaftarPembeli)-ROW(PartsData!E$2)+1),ROWS(PartsData!E$2:'PartsData'!E129))),"")</f>
        <v/>
      </c>
      <c r="O129" t="str">
        <f ca="1">IF(N129="","",COUNTIF(ListCariPembeli,"&lt;="&amp;$N129))</f>
        <v/>
      </c>
      <c r="P129" t="str">
        <f ca="1">IF(O129="","",INDEX(ListCariPembeli,MATCH(ROWS($O$2:$O129),$O$2:$O$201,0)))</f>
        <v/>
      </c>
      <c r="T129" s="77" t="str">
        <f t="array" aca="1" ref="T129" ca="1">IFERROR(INDEX(DaftarPembeli,SMALL(IF(OrderIDList=$S$2,ROW(DaftarPembeli)-ROW(PartsData!E$2)+1),ROWS(PartsData!E$2:'PartsData'!E129))),"")</f>
        <v/>
      </c>
      <c r="U129" s="77" t="str">
        <f ca="1">IF(T129="","",COUNTIF(ListNamaPembeli,"&lt;="&amp;$T129))</f>
        <v/>
      </c>
      <c r="V129" s="77" t="str">
        <f ca="1">IF(U129="","",INDEX(ListNamaPembeli,MATCH(ROWS($U$2:$U129),$U$2:$U$201,0)))</f>
        <v/>
      </c>
      <c r="Y129" s="77" t="str">
        <f t="array" aca="1" ref="Y129" ca="1">IFERROR(INDEX(RekapPembeli,SMALL(IF(RekapKontak=$X$2,ROW(RekapPembeli)-ROW(DataPemesanan!F$2)+1),ROWS(DataPemesanan!F$2:'DataPemesanan'!F129))),"")</f>
        <v/>
      </c>
      <c r="Z129" s="77" t="str">
        <f ca="1">IF(Y129="","",COUNTIF(DataRekapPembeli,"&lt;="&amp;$Y129))</f>
        <v/>
      </c>
      <c r="AA129" s="77" t="str">
        <f ca="1">IF(Z129="","",INDEX(DataRekapPembeli,MATCH(ROWS($Z$2:$Z129),$Z$2:$Z$201,0)))</f>
        <v/>
      </c>
    </row>
    <row r="130" spans="10:27">
      <c r="J130" t="str">
        <f t="array" aca="1" ref="J130" ca="1">IFERROR(INDEX(DaftarPembeli,SMALL(IF(OrderIDList=$I$2,ROW(DaftarPembeli)-ROW(PartsData!E$2)+1),ROWS(PartsData!E$2:'PartsData'!E130))),"")</f>
        <v/>
      </c>
      <c r="K130" t="str">
        <f ca="1">IF(J130="","",COUNTIF(ListPembeli,"&lt;="&amp;$J130))</f>
        <v/>
      </c>
      <c r="L130" t="str">
        <f ca="1">IF(K130="","",INDEX(ListPembeli,MATCH(ROWS($K$2:$K130),$K$2:$K$101,0)))</f>
        <v/>
      </c>
      <c r="N130" s="77" t="str">
        <f t="array" aca="1" ref="N130" ca="1">IFERROR(INDEX(DaftarPembeli,SMALL(IF(OrderIDList=$M$2,ROW(DaftarPembeli)-ROW(PartsData!E$2)+1),ROWS(PartsData!E$2:'PartsData'!E130))),"")</f>
        <v/>
      </c>
      <c r="O130" t="str">
        <f ca="1">IF(N130="","",COUNTIF(ListCariPembeli,"&lt;="&amp;$N130))</f>
        <v/>
      </c>
      <c r="P130" t="str">
        <f ca="1">IF(O130="","",INDEX(ListCariPembeli,MATCH(ROWS($O$2:$O130),$O$2:$O$201,0)))</f>
        <v/>
      </c>
      <c r="T130" s="77" t="str">
        <f t="array" aca="1" ref="T130" ca="1">IFERROR(INDEX(DaftarPembeli,SMALL(IF(OrderIDList=$S$2,ROW(DaftarPembeli)-ROW(PartsData!E$2)+1),ROWS(PartsData!E$2:'PartsData'!E130))),"")</f>
        <v/>
      </c>
      <c r="U130" s="77" t="str">
        <f ca="1">IF(T130="","",COUNTIF(ListNamaPembeli,"&lt;="&amp;$T130))</f>
        <v/>
      </c>
      <c r="V130" s="77" t="str">
        <f ca="1">IF(U130="","",INDEX(ListNamaPembeli,MATCH(ROWS($U$2:$U130),$U$2:$U$201,0)))</f>
        <v/>
      </c>
      <c r="Y130" s="77" t="str">
        <f t="array" aca="1" ref="Y130" ca="1">IFERROR(INDEX(RekapPembeli,SMALL(IF(RekapKontak=$X$2,ROW(RekapPembeli)-ROW(DataPemesanan!F$2)+1),ROWS(DataPemesanan!F$2:'DataPemesanan'!F130))),"")</f>
        <v/>
      </c>
      <c r="Z130" s="77" t="str">
        <f ca="1">IF(Y130="","",COUNTIF(DataRekapPembeli,"&lt;="&amp;$Y130))</f>
        <v/>
      </c>
      <c r="AA130" s="77" t="str">
        <f ca="1">IF(Z130="","",INDEX(DataRekapPembeli,MATCH(ROWS($Z$2:$Z130),$Z$2:$Z$201,0)))</f>
        <v/>
      </c>
    </row>
    <row r="131" spans="10:27">
      <c r="J131" t="str">
        <f t="array" aca="1" ref="J131" ca="1">IFERROR(INDEX(DaftarPembeli,SMALL(IF(OrderIDList=$I$2,ROW(DaftarPembeli)-ROW(PartsData!E$2)+1),ROWS(PartsData!E$2:'PartsData'!E131))),"")</f>
        <v/>
      </c>
      <c r="K131" t="str">
        <f ca="1">IF(J131="","",COUNTIF(ListPembeli,"&lt;="&amp;$J131))</f>
        <v/>
      </c>
      <c r="L131" t="str">
        <f ca="1">IF(K131="","",INDEX(ListPembeli,MATCH(ROWS($K$2:$K131),$K$2:$K$101,0)))</f>
        <v/>
      </c>
      <c r="N131" s="77" t="str">
        <f t="array" aca="1" ref="N131" ca="1">IFERROR(INDEX(DaftarPembeli,SMALL(IF(OrderIDList=$M$2,ROW(DaftarPembeli)-ROW(PartsData!E$2)+1),ROWS(PartsData!E$2:'PartsData'!E131))),"")</f>
        <v/>
      </c>
      <c r="O131" t="str">
        <f ca="1">IF(N131="","",COUNTIF(ListCariPembeli,"&lt;="&amp;$N131))</f>
        <v/>
      </c>
      <c r="P131" t="str">
        <f ca="1">IF(O131="","",INDEX(ListCariPembeli,MATCH(ROWS($O$2:$O131),$O$2:$O$201,0)))</f>
        <v/>
      </c>
      <c r="T131" s="77" t="str">
        <f t="array" aca="1" ref="T131" ca="1">IFERROR(INDEX(DaftarPembeli,SMALL(IF(OrderIDList=$S$2,ROW(DaftarPembeli)-ROW(PartsData!E$2)+1),ROWS(PartsData!E$2:'PartsData'!E131))),"")</f>
        <v/>
      </c>
      <c r="U131" s="77" t="str">
        <f ca="1">IF(T131="","",COUNTIF(ListNamaPembeli,"&lt;="&amp;$T131))</f>
        <v/>
      </c>
      <c r="V131" s="77" t="str">
        <f ca="1">IF(U131="","",INDEX(ListNamaPembeli,MATCH(ROWS($U$2:$U131),$U$2:$U$201,0)))</f>
        <v/>
      </c>
      <c r="Y131" s="77" t="str">
        <f t="array" aca="1" ref="Y131" ca="1">IFERROR(INDEX(RekapPembeli,SMALL(IF(RekapKontak=$X$2,ROW(RekapPembeli)-ROW(DataPemesanan!F$2)+1),ROWS(DataPemesanan!F$2:'DataPemesanan'!F131))),"")</f>
        <v/>
      </c>
      <c r="Z131" s="77" t="str">
        <f ca="1">IF(Y131="","",COUNTIF(DataRekapPembeli,"&lt;="&amp;$Y131))</f>
        <v/>
      </c>
      <c r="AA131" s="77" t="str">
        <f ca="1">IF(Z131="","",INDEX(DataRekapPembeli,MATCH(ROWS($Z$2:$Z131),$Z$2:$Z$201,0)))</f>
        <v/>
      </c>
    </row>
    <row r="132" spans="10:27">
      <c r="J132" t="str">
        <f t="array" aca="1" ref="J132" ca="1">IFERROR(INDEX(DaftarPembeli,SMALL(IF(OrderIDList=$I$2,ROW(DaftarPembeli)-ROW(PartsData!E$2)+1),ROWS(PartsData!E$2:'PartsData'!E132))),"")</f>
        <v/>
      </c>
      <c r="K132" t="str">
        <f ca="1">IF(J132="","",COUNTIF(ListPembeli,"&lt;="&amp;$J132))</f>
        <v/>
      </c>
      <c r="L132" t="str">
        <f ca="1">IF(K132="","",INDEX(ListPembeli,MATCH(ROWS($K$2:$K132),$K$2:$K$101,0)))</f>
        <v/>
      </c>
      <c r="N132" s="77" t="str">
        <f t="array" aca="1" ref="N132" ca="1">IFERROR(INDEX(DaftarPembeli,SMALL(IF(OrderIDList=$M$2,ROW(DaftarPembeli)-ROW(PartsData!E$2)+1),ROWS(PartsData!E$2:'PartsData'!E132))),"")</f>
        <v/>
      </c>
      <c r="O132" t="str">
        <f ca="1">IF(N132="","",COUNTIF(ListCariPembeli,"&lt;="&amp;$N132))</f>
        <v/>
      </c>
      <c r="P132" t="str">
        <f ca="1">IF(O132="","",INDEX(ListCariPembeli,MATCH(ROWS($O$2:$O132),$O$2:$O$201,0)))</f>
        <v/>
      </c>
      <c r="T132" s="77" t="str">
        <f t="array" aca="1" ref="T132" ca="1">IFERROR(INDEX(DaftarPembeli,SMALL(IF(OrderIDList=$S$2,ROW(DaftarPembeli)-ROW(PartsData!E$2)+1),ROWS(PartsData!E$2:'PartsData'!E132))),"")</f>
        <v/>
      </c>
      <c r="U132" s="77" t="str">
        <f ca="1">IF(T132="","",COUNTIF(ListNamaPembeli,"&lt;="&amp;$T132))</f>
        <v/>
      </c>
      <c r="V132" s="77" t="str">
        <f ca="1">IF(U132="","",INDEX(ListNamaPembeli,MATCH(ROWS($U$2:$U132),$U$2:$U$201,0)))</f>
        <v/>
      </c>
      <c r="Y132" s="77" t="str">
        <f t="array" aca="1" ref="Y132" ca="1">IFERROR(INDEX(RekapPembeli,SMALL(IF(RekapKontak=$X$2,ROW(RekapPembeli)-ROW(DataPemesanan!F$2)+1),ROWS(DataPemesanan!F$2:'DataPemesanan'!F132))),"")</f>
        <v/>
      </c>
      <c r="Z132" s="77" t="str">
        <f ca="1">IF(Y132="","",COUNTIF(DataRekapPembeli,"&lt;="&amp;$Y132))</f>
        <v/>
      </c>
      <c r="AA132" s="77" t="str">
        <f ca="1">IF(Z132="","",INDEX(DataRekapPembeli,MATCH(ROWS($Z$2:$Z132),$Z$2:$Z$201,0)))</f>
        <v/>
      </c>
    </row>
    <row r="133" spans="10:27">
      <c r="J133" t="str">
        <f t="array" aca="1" ref="J133" ca="1">IFERROR(INDEX(DaftarPembeli,SMALL(IF(OrderIDList=$I$2,ROW(DaftarPembeli)-ROW(PartsData!E$2)+1),ROWS(PartsData!E$2:'PartsData'!E133))),"")</f>
        <v/>
      </c>
      <c r="K133" t="str">
        <f ca="1">IF(J133="","",COUNTIF(ListPembeli,"&lt;="&amp;$J133))</f>
        <v/>
      </c>
      <c r="L133" t="str">
        <f ca="1">IF(K133="","",INDEX(ListPembeli,MATCH(ROWS($K$2:$K133),$K$2:$K$101,0)))</f>
        <v/>
      </c>
      <c r="N133" s="77" t="str">
        <f t="array" aca="1" ref="N133" ca="1">IFERROR(INDEX(DaftarPembeli,SMALL(IF(OrderIDList=$M$2,ROW(DaftarPembeli)-ROW(PartsData!E$2)+1),ROWS(PartsData!E$2:'PartsData'!E133))),"")</f>
        <v/>
      </c>
      <c r="O133" t="str">
        <f ca="1">IF(N133="","",COUNTIF(ListCariPembeli,"&lt;="&amp;$N133))</f>
        <v/>
      </c>
      <c r="P133" t="str">
        <f ca="1">IF(O133="","",INDEX(ListCariPembeli,MATCH(ROWS($O$2:$O133),$O$2:$O$201,0)))</f>
        <v/>
      </c>
      <c r="T133" s="77" t="str">
        <f t="array" aca="1" ref="T133" ca="1">IFERROR(INDEX(DaftarPembeli,SMALL(IF(OrderIDList=$S$2,ROW(DaftarPembeli)-ROW(PartsData!E$2)+1),ROWS(PartsData!E$2:'PartsData'!E133))),"")</f>
        <v/>
      </c>
      <c r="U133" s="77" t="str">
        <f ca="1">IF(T133="","",COUNTIF(ListNamaPembeli,"&lt;="&amp;$T133))</f>
        <v/>
      </c>
      <c r="V133" s="77" t="str">
        <f ca="1">IF(U133="","",INDEX(ListNamaPembeli,MATCH(ROWS($U$2:$U133),$U$2:$U$201,0)))</f>
        <v/>
      </c>
      <c r="Y133" s="77" t="str">
        <f t="array" aca="1" ref="Y133" ca="1">IFERROR(INDEX(RekapPembeli,SMALL(IF(RekapKontak=$X$2,ROW(RekapPembeli)-ROW(DataPemesanan!F$2)+1),ROWS(DataPemesanan!F$2:'DataPemesanan'!F133))),"")</f>
        <v/>
      </c>
      <c r="Z133" s="77" t="str">
        <f ca="1">IF(Y133="","",COUNTIF(DataRekapPembeli,"&lt;="&amp;$Y133))</f>
        <v/>
      </c>
      <c r="AA133" s="77" t="str">
        <f ca="1">IF(Z133="","",INDEX(DataRekapPembeli,MATCH(ROWS($Z$2:$Z133),$Z$2:$Z$201,0)))</f>
        <v/>
      </c>
    </row>
    <row r="134" spans="10:27">
      <c r="J134" t="str">
        <f t="array" aca="1" ref="J134" ca="1">IFERROR(INDEX(DaftarPembeli,SMALL(IF(OrderIDList=$I$2,ROW(DaftarPembeli)-ROW(PartsData!E$2)+1),ROWS(PartsData!E$2:'PartsData'!E134))),"")</f>
        <v/>
      </c>
      <c r="K134" t="str">
        <f ca="1">IF(J134="","",COUNTIF(ListPembeli,"&lt;="&amp;$J134))</f>
        <v/>
      </c>
      <c r="L134" t="str">
        <f ca="1">IF(K134="","",INDEX(ListPembeli,MATCH(ROWS($K$2:$K134),$K$2:$K$101,0)))</f>
        <v/>
      </c>
      <c r="N134" s="77" t="str">
        <f t="array" aca="1" ref="N134" ca="1">IFERROR(INDEX(DaftarPembeli,SMALL(IF(OrderIDList=$M$2,ROW(DaftarPembeli)-ROW(PartsData!E$2)+1),ROWS(PartsData!E$2:'PartsData'!E134))),"")</f>
        <v/>
      </c>
      <c r="O134" t="str">
        <f ca="1">IF(N134="","",COUNTIF(ListCariPembeli,"&lt;="&amp;$N134))</f>
        <v/>
      </c>
      <c r="P134" t="str">
        <f ca="1">IF(O134="","",INDEX(ListCariPembeli,MATCH(ROWS($O$2:$O134),$O$2:$O$201,0)))</f>
        <v/>
      </c>
      <c r="T134" s="77" t="str">
        <f t="array" aca="1" ref="T134" ca="1">IFERROR(INDEX(DaftarPembeli,SMALL(IF(OrderIDList=$S$2,ROW(DaftarPembeli)-ROW(PartsData!E$2)+1),ROWS(PartsData!E$2:'PartsData'!E134))),"")</f>
        <v/>
      </c>
      <c r="U134" s="77" t="str">
        <f ca="1">IF(T134="","",COUNTIF(ListNamaPembeli,"&lt;="&amp;$T134))</f>
        <v/>
      </c>
      <c r="V134" s="77" t="str">
        <f ca="1">IF(U134="","",INDEX(ListNamaPembeli,MATCH(ROWS($U$2:$U134),$U$2:$U$201,0)))</f>
        <v/>
      </c>
      <c r="Y134" s="77" t="str">
        <f t="array" aca="1" ref="Y134" ca="1">IFERROR(INDEX(RekapPembeli,SMALL(IF(RekapKontak=$X$2,ROW(RekapPembeli)-ROW(DataPemesanan!F$2)+1),ROWS(DataPemesanan!F$2:'DataPemesanan'!F134))),"")</f>
        <v/>
      </c>
      <c r="Z134" s="77" t="str">
        <f ca="1">IF(Y134="","",COUNTIF(DataRekapPembeli,"&lt;="&amp;$Y134))</f>
        <v/>
      </c>
      <c r="AA134" s="77" t="str">
        <f ca="1">IF(Z134="","",INDEX(DataRekapPembeli,MATCH(ROWS($Z$2:$Z134),$Z$2:$Z$201,0)))</f>
        <v/>
      </c>
    </row>
    <row r="135" spans="10:27">
      <c r="J135" t="str">
        <f t="array" aca="1" ref="J135" ca="1">IFERROR(INDEX(DaftarPembeli,SMALL(IF(OrderIDList=$I$2,ROW(DaftarPembeli)-ROW(PartsData!E$2)+1),ROWS(PartsData!E$2:'PartsData'!E135))),"")</f>
        <v/>
      </c>
      <c r="K135" t="str">
        <f ca="1">IF(J135="","",COUNTIF(ListPembeli,"&lt;="&amp;$J135))</f>
        <v/>
      </c>
      <c r="L135" t="str">
        <f ca="1">IF(K135="","",INDEX(ListPembeli,MATCH(ROWS($K$2:$K135),$K$2:$K$101,0)))</f>
        <v/>
      </c>
      <c r="N135" s="77" t="str">
        <f t="array" aca="1" ref="N135" ca="1">IFERROR(INDEX(DaftarPembeli,SMALL(IF(OrderIDList=$M$2,ROW(DaftarPembeli)-ROW(PartsData!E$2)+1),ROWS(PartsData!E$2:'PartsData'!E135))),"")</f>
        <v/>
      </c>
      <c r="O135" t="str">
        <f ca="1">IF(N135="","",COUNTIF(ListCariPembeli,"&lt;="&amp;$N135))</f>
        <v/>
      </c>
      <c r="P135" t="str">
        <f ca="1">IF(O135="","",INDEX(ListCariPembeli,MATCH(ROWS($O$2:$O135),$O$2:$O$201,0)))</f>
        <v/>
      </c>
      <c r="T135" s="77" t="str">
        <f t="array" aca="1" ref="T135" ca="1">IFERROR(INDEX(DaftarPembeli,SMALL(IF(OrderIDList=$S$2,ROW(DaftarPembeli)-ROW(PartsData!E$2)+1),ROWS(PartsData!E$2:'PartsData'!E135))),"")</f>
        <v/>
      </c>
      <c r="U135" s="77" t="str">
        <f ca="1">IF(T135="","",COUNTIF(ListNamaPembeli,"&lt;="&amp;$T135))</f>
        <v/>
      </c>
      <c r="V135" s="77" t="str">
        <f ca="1">IF(U135="","",INDEX(ListNamaPembeli,MATCH(ROWS($U$2:$U135),$U$2:$U$201,0)))</f>
        <v/>
      </c>
      <c r="Y135" s="77" t="str">
        <f t="array" aca="1" ref="Y135" ca="1">IFERROR(INDEX(RekapPembeli,SMALL(IF(RekapKontak=$X$2,ROW(RekapPembeli)-ROW(DataPemesanan!F$2)+1),ROWS(DataPemesanan!F$2:'DataPemesanan'!F135))),"")</f>
        <v/>
      </c>
      <c r="Z135" s="77" t="str">
        <f ca="1">IF(Y135="","",COUNTIF(DataRekapPembeli,"&lt;="&amp;$Y135))</f>
        <v/>
      </c>
      <c r="AA135" s="77" t="str">
        <f ca="1">IF(Z135="","",INDEX(DataRekapPembeli,MATCH(ROWS($Z$2:$Z135),$Z$2:$Z$201,0)))</f>
        <v/>
      </c>
    </row>
    <row r="136" spans="10:27">
      <c r="J136" t="str">
        <f t="array" aca="1" ref="J136" ca="1">IFERROR(INDEX(DaftarPembeli,SMALL(IF(OrderIDList=$I$2,ROW(DaftarPembeli)-ROW(PartsData!E$2)+1),ROWS(PartsData!E$2:'PartsData'!E136))),"")</f>
        <v/>
      </c>
      <c r="K136" t="str">
        <f ca="1">IF(J136="","",COUNTIF(ListPembeli,"&lt;="&amp;$J136))</f>
        <v/>
      </c>
      <c r="L136" t="str">
        <f ca="1">IF(K136="","",INDEX(ListPembeli,MATCH(ROWS($K$2:$K136),$K$2:$K$101,0)))</f>
        <v/>
      </c>
      <c r="N136" s="77" t="str">
        <f t="array" aca="1" ref="N136" ca="1">IFERROR(INDEX(DaftarPembeli,SMALL(IF(OrderIDList=$M$2,ROW(DaftarPembeli)-ROW(PartsData!E$2)+1),ROWS(PartsData!E$2:'PartsData'!E136))),"")</f>
        <v/>
      </c>
      <c r="O136" t="str">
        <f ca="1">IF(N136="","",COUNTIF(ListCariPembeli,"&lt;="&amp;$N136))</f>
        <v/>
      </c>
      <c r="P136" t="str">
        <f ca="1">IF(O136="","",INDEX(ListCariPembeli,MATCH(ROWS($O$2:$O136),$O$2:$O$201,0)))</f>
        <v/>
      </c>
      <c r="T136" s="77" t="str">
        <f t="array" aca="1" ref="T136" ca="1">IFERROR(INDEX(DaftarPembeli,SMALL(IF(OrderIDList=$S$2,ROW(DaftarPembeli)-ROW(PartsData!E$2)+1),ROWS(PartsData!E$2:'PartsData'!E136))),"")</f>
        <v/>
      </c>
      <c r="U136" s="77" t="str">
        <f ca="1">IF(T136="","",COUNTIF(ListNamaPembeli,"&lt;="&amp;$T136))</f>
        <v/>
      </c>
      <c r="V136" s="77" t="str">
        <f ca="1">IF(U136="","",INDEX(ListNamaPembeli,MATCH(ROWS($U$2:$U136),$U$2:$U$201,0)))</f>
        <v/>
      </c>
      <c r="Y136" s="77" t="str">
        <f t="array" aca="1" ref="Y136" ca="1">IFERROR(INDEX(RekapPembeli,SMALL(IF(RekapKontak=$X$2,ROW(RekapPembeli)-ROW(DataPemesanan!F$2)+1),ROWS(DataPemesanan!F$2:'DataPemesanan'!F136))),"")</f>
        <v/>
      </c>
      <c r="Z136" s="77" t="str">
        <f ca="1">IF(Y136="","",COUNTIF(DataRekapPembeli,"&lt;="&amp;$Y136))</f>
        <v/>
      </c>
      <c r="AA136" s="77" t="str">
        <f ca="1">IF(Z136="","",INDEX(DataRekapPembeli,MATCH(ROWS($Z$2:$Z136),$Z$2:$Z$201,0)))</f>
        <v/>
      </c>
    </row>
    <row r="137" spans="10:27">
      <c r="J137" t="str">
        <f t="array" aca="1" ref="J137" ca="1">IFERROR(INDEX(DaftarPembeli,SMALL(IF(OrderIDList=$I$2,ROW(DaftarPembeli)-ROW(PartsData!E$2)+1),ROWS(PartsData!E$2:'PartsData'!E137))),"")</f>
        <v/>
      </c>
      <c r="K137" t="str">
        <f ca="1">IF(J137="","",COUNTIF(ListPembeli,"&lt;="&amp;$J137))</f>
        <v/>
      </c>
      <c r="L137" t="str">
        <f ca="1">IF(K137="","",INDEX(ListPembeli,MATCH(ROWS($K$2:$K137),$K$2:$K$101,0)))</f>
        <v/>
      </c>
      <c r="N137" s="77" t="str">
        <f t="array" aca="1" ref="N137" ca="1">IFERROR(INDEX(DaftarPembeli,SMALL(IF(OrderIDList=$M$2,ROW(DaftarPembeli)-ROW(PartsData!E$2)+1),ROWS(PartsData!E$2:'PartsData'!E137))),"")</f>
        <v/>
      </c>
      <c r="O137" t="str">
        <f ca="1">IF(N137="","",COUNTIF(ListCariPembeli,"&lt;="&amp;$N137))</f>
        <v/>
      </c>
      <c r="P137" t="str">
        <f ca="1">IF(O137="","",INDEX(ListCariPembeli,MATCH(ROWS($O$2:$O137),$O$2:$O$201,0)))</f>
        <v/>
      </c>
      <c r="T137" s="77" t="str">
        <f t="array" aca="1" ref="T137" ca="1">IFERROR(INDEX(DaftarPembeli,SMALL(IF(OrderIDList=$S$2,ROW(DaftarPembeli)-ROW(PartsData!E$2)+1),ROWS(PartsData!E$2:'PartsData'!E137))),"")</f>
        <v/>
      </c>
      <c r="U137" s="77" t="str">
        <f ca="1">IF(T137="","",COUNTIF(ListNamaPembeli,"&lt;="&amp;$T137))</f>
        <v/>
      </c>
      <c r="V137" s="77" t="str">
        <f ca="1">IF(U137="","",INDEX(ListNamaPembeli,MATCH(ROWS($U$2:$U137),$U$2:$U$201,0)))</f>
        <v/>
      </c>
      <c r="Y137" s="77" t="str">
        <f t="array" aca="1" ref="Y137" ca="1">IFERROR(INDEX(RekapPembeli,SMALL(IF(RekapKontak=$X$2,ROW(RekapPembeli)-ROW(DataPemesanan!F$2)+1),ROWS(DataPemesanan!F$2:'DataPemesanan'!F137))),"")</f>
        <v/>
      </c>
      <c r="Z137" s="77" t="str">
        <f ca="1">IF(Y137="","",COUNTIF(DataRekapPembeli,"&lt;="&amp;$Y137))</f>
        <v/>
      </c>
      <c r="AA137" s="77" t="str">
        <f ca="1">IF(Z137="","",INDEX(DataRekapPembeli,MATCH(ROWS($Z$2:$Z137),$Z$2:$Z$201,0)))</f>
        <v/>
      </c>
    </row>
    <row r="138" spans="10:27">
      <c r="J138" t="str">
        <f t="array" aca="1" ref="J138" ca="1">IFERROR(INDEX(DaftarPembeli,SMALL(IF(OrderIDList=$I$2,ROW(DaftarPembeli)-ROW(PartsData!E$2)+1),ROWS(PartsData!E$2:'PartsData'!E138))),"")</f>
        <v/>
      </c>
      <c r="K138" t="str">
        <f ca="1">IF(J138="","",COUNTIF(ListPembeli,"&lt;="&amp;$J138))</f>
        <v/>
      </c>
      <c r="L138" t="str">
        <f ca="1">IF(K138="","",INDEX(ListPembeli,MATCH(ROWS($K$2:$K138),$K$2:$K$101,0)))</f>
        <v/>
      </c>
      <c r="N138" s="77" t="str">
        <f t="array" aca="1" ref="N138" ca="1">IFERROR(INDEX(DaftarPembeli,SMALL(IF(OrderIDList=$M$2,ROW(DaftarPembeli)-ROW(PartsData!E$2)+1),ROWS(PartsData!E$2:'PartsData'!E138))),"")</f>
        <v/>
      </c>
      <c r="O138" t="str">
        <f ca="1">IF(N138="","",COUNTIF(ListCariPembeli,"&lt;="&amp;$N138))</f>
        <v/>
      </c>
      <c r="P138" t="str">
        <f ca="1">IF(O138="","",INDEX(ListCariPembeli,MATCH(ROWS($O$2:$O138),$O$2:$O$201,0)))</f>
        <v/>
      </c>
      <c r="T138" s="77" t="str">
        <f t="array" aca="1" ref="T138" ca="1">IFERROR(INDEX(DaftarPembeli,SMALL(IF(OrderIDList=$S$2,ROW(DaftarPembeli)-ROW(PartsData!E$2)+1),ROWS(PartsData!E$2:'PartsData'!E138))),"")</f>
        <v/>
      </c>
      <c r="U138" s="77" t="str">
        <f ca="1">IF(T138="","",COUNTIF(ListNamaPembeli,"&lt;="&amp;$T138))</f>
        <v/>
      </c>
      <c r="V138" s="77" t="str">
        <f ca="1">IF(U138="","",INDEX(ListNamaPembeli,MATCH(ROWS($U$2:$U138),$U$2:$U$201,0)))</f>
        <v/>
      </c>
      <c r="Y138" s="77" t="str">
        <f t="array" aca="1" ref="Y138" ca="1">IFERROR(INDEX(RekapPembeli,SMALL(IF(RekapKontak=$X$2,ROW(RekapPembeli)-ROW(DataPemesanan!F$2)+1),ROWS(DataPemesanan!F$2:'DataPemesanan'!F138))),"")</f>
        <v/>
      </c>
      <c r="Z138" s="77" t="str">
        <f ca="1">IF(Y138="","",COUNTIF(DataRekapPembeli,"&lt;="&amp;$Y138))</f>
        <v/>
      </c>
      <c r="AA138" s="77" t="str">
        <f ca="1">IF(Z138="","",INDEX(DataRekapPembeli,MATCH(ROWS($Z$2:$Z138),$Z$2:$Z$201,0)))</f>
        <v/>
      </c>
    </row>
    <row r="139" spans="10:27">
      <c r="J139" t="str">
        <f t="array" aca="1" ref="J139" ca="1">IFERROR(INDEX(DaftarPembeli,SMALL(IF(OrderIDList=$I$2,ROW(DaftarPembeli)-ROW(PartsData!E$2)+1),ROWS(PartsData!E$2:'PartsData'!E139))),"")</f>
        <v/>
      </c>
      <c r="K139" t="str">
        <f ca="1">IF(J139="","",COUNTIF(ListPembeli,"&lt;="&amp;$J139))</f>
        <v/>
      </c>
      <c r="L139" t="str">
        <f ca="1">IF(K139="","",INDEX(ListPembeli,MATCH(ROWS($K$2:$K139),$K$2:$K$101,0)))</f>
        <v/>
      </c>
      <c r="N139" s="77" t="str">
        <f t="array" aca="1" ref="N139" ca="1">IFERROR(INDEX(DaftarPembeli,SMALL(IF(OrderIDList=$M$2,ROW(DaftarPembeli)-ROW(PartsData!E$2)+1),ROWS(PartsData!E$2:'PartsData'!E139))),"")</f>
        <v/>
      </c>
      <c r="O139" t="str">
        <f ca="1">IF(N139="","",COUNTIF(ListCariPembeli,"&lt;="&amp;$N139))</f>
        <v/>
      </c>
      <c r="P139" t="str">
        <f ca="1">IF(O139="","",INDEX(ListCariPembeli,MATCH(ROWS($O$2:$O139),$O$2:$O$201,0)))</f>
        <v/>
      </c>
      <c r="T139" s="77" t="str">
        <f t="array" aca="1" ref="T139" ca="1">IFERROR(INDEX(DaftarPembeli,SMALL(IF(OrderIDList=$S$2,ROW(DaftarPembeli)-ROW(PartsData!E$2)+1),ROWS(PartsData!E$2:'PartsData'!E139))),"")</f>
        <v/>
      </c>
      <c r="U139" s="77" t="str">
        <f ca="1">IF(T139="","",COUNTIF(ListNamaPembeli,"&lt;="&amp;$T139))</f>
        <v/>
      </c>
      <c r="V139" s="77" t="str">
        <f ca="1">IF(U139="","",INDEX(ListNamaPembeli,MATCH(ROWS($U$2:$U139),$U$2:$U$201,0)))</f>
        <v/>
      </c>
      <c r="Y139" s="77" t="str">
        <f t="array" aca="1" ref="Y139" ca="1">IFERROR(INDEX(RekapPembeli,SMALL(IF(RekapKontak=$X$2,ROW(RekapPembeli)-ROW(DataPemesanan!F$2)+1),ROWS(DataPemesanan!F$2:'DataPemesanan'!F139))),"")</f>
        <v/>
      </c>
      <c r="Z139" s="77" t="str">
        <f ca="1">IF(Y139="","",COUNTIF(DataRekapPembeli,"&lt;="&amp;$Y139))</f>
        <v/>
      </c>
      <c r="AA139" s="77" t="str">
        <f ca="1">IF(Z139="","",INDEX(DataRekapPembeli,MATCH(ROWS($Z$2:$Z139),$Z$2:$Z$201,0)))</f>
        <v/>
      </c>
    </row>
    <row r="140" spans="10:27">
      <c r="J140" t="str">
        <f t="array" aca="1" ref="J140" ca="1">IFERROR(INDEX(DaftarPembeli,SMALL(IF(OrderIDList=$I$2,ROW(DaftarPembeli)-ROW(PartsData!E$2)+1),ROWS(PartsData!E$2:'PartsData'!E140))),"")</f>
        <v/>
      </c>
      <c r="K140" t="str">
        <f ca="1">IF(J140="","",COUNTIF(ListPembeli,"&lt;="&amp;$J140))</f>
        <v/>
      </c>
      <c r="L140" t="str">
        <f ca="1">IF(K140="","",INDEX(ListPembeli,MATCH(ROWS($K$2:$K140),$K$2:$K$101,0)))</f>
        <v/>
      </c>
      <c r="N140" s="77" t="str">
        <f t="array" aca="1" ref="N140" ca="1">IFERROR(INDEX(DaftarPembeli,SMALL(IF(OrderIDList=$M$2,ROW(DaftarPembeli)-ROW(PartsData!E$2)+1),ROWS(PartsData!E$2:'PartsData'!E140))),"")</f>
        <v/>
      </c>
      <c r="O140" t="str">
        <f ca="1">IF(N140="","",COUNTIF(ListCariPembeli,"&lt;="&amp;$N140))</f>
        <v/>
      </c>
      <c r="P140" t="str">
        <f ca="1">IF(O140="","",INDEX(ListCariPembeli,MATCH(ROWS($O$2:$O140),$O$2:$O$201,0)))</f>
        <v/>
      </c>
      <c r="T140" s="77" t="str">
        <f t="array" aca="1" ref="T140" ca="1">IFERROR(INDEX(DaftarPembeli,SMALL(IF(OrderIDList=$S$2,ROW(DaftarPembeli)-ROW(PartsData!E$2)+1),ROWS(PartsData!E$2:'PartsData'!E140))),"")</f>
        <v/>
      </c>
      <c r="U140" s="77" t="str">
        <f ca="1">IF(T140="","",COUNTIF(ListNamaPembeli,"&lt;="&amp;$T140))</f>
        <v/>
      </c>
      <c r="V140" s="77" t="str">
        <f ca="1">IF(U140="","",INDEX(ListNamaPembeli,MATCH(ROWS($U$2:$U140),$U$2:$U$201,0)))</f>
        <v/>
      </c>
      <c r="Y140" s="77" t="str">
        <f t="array" aca="1" ref="Y140" ca="1">IFERROR(INDEX(RekapPembeli,SMALL(IF(RekapKontak=$X$2,ROW(RekapPembeli)-ROW(DataPemesanan!F$2)+1),ROWS(DataPemesanan!F$2:'DataPemesanan'!F140))),"")</f>
        <v/>
      </c>
      <c r="Z140" s="77" t="str">
        <f ca="1">IF(Y140="","",COUNTIF(DataRekapPembeli,"&lt;="&amp;$Y140))</f>
        <v/>
      </c>
      <c r="AA140" s="77" t="str">
        <f ca="1">IF(Z140="","",INDEX(DataRekapPembeli,MATCH(ROWS($Z$2:$Z140),$Z$2:$Z$201,0)))</f>
        <v/>
      </c>
    </row>
    <row r="141" spans="10:27">
      <c r="J141" t="str">
        <f t="array" aca="1" ref="J141" ca="1">IFERROR(INDEX(DaftarPembeli,SMALL(IF(OrderIDList=$I$2,ROW(DaftarPembeli)-ROW(PartsData!E$2)+1),ROWS(PartsData!E$2:'PartsData'!E141))),"")</f>
        <v/>
      </c>
      <c r="K141" t="str">
        <f ca="1">IF(J141="","",COUNTIF(ListPembeli,"&lt;="&amp;$J141))</f>
        <v/>
      </c>
      <c r="L141" t="str">
        <f ca="1">IF(K141="","",INDEX(ListPembeli,MATCH(ROWS($K$2:$K141),$K$2:$K$101,0)))</f>
        <v/>
      </c>
      <c r="N141" s="77" t="str">
        <f t="array" aca="1" ref="N141" ca="1">IFERROR(INDEX(DaftarPembeli,SMALL(IF(OrderIDList=$M$2,ROW(DaftarPembeli)-ROW(PartsData!E$2)+1),ROWS(PartsData!E$2:'PartsData'!E141))),"")</f>
        <v/>
      </c>
      <c r="O141" t="str">
        <f ca="1">IF(N141="","",COUNTIF(ListCariPembeli,"&lt;="&amp;$N141))</f>
        <v/>
      </c>
      <c r="P141" t="str">
        <f ca="1">IF(O141="","",INDEX(ListCariPembeli,MATCH(ROWS($O$2:$O141),$O$2:$O$201,0)))</f>
        <v/>
      </c>
      <c r="T141" s="77" t="str">
        <f t="array" aca="1" ref="T141" ca="1">IFERROR(INDEX(DaftarPembeli,SMALL(IF(OrderIDList=$S$2,ROW(DaftarPembeli)-ROW(PartsData!E$2)+1),ROWS(PartsData!E$2:'PartsData'!E141))),"")</f>
        <v/>
      </c>
      <c r="U141" s="77" t="str">
        <f ca="1">IF(T141="","",COUNTIF(ListNamaPembeli,"&lt;="&amp;$T141))</f>
        <v/>
      </c>
      <c r="V141" s="77" t="str">
        <f ca="1">IF(U141="","",INDEX(ListNamaPembeli,MATCH(ROWS($U$2:$U141),$U$2:$U$201,0)))</f>
        <v/>
      </c>
      <c r="Y141" s="77" t="str">
        <f t="array" aca="1" ref="Y141" ca="1">IFERROR(INDEX(RekapPembeli,SMALL(IF(RekapKontak=$X$2,ROW(RekapPembeli)-ROW(DataPemesanan!F$2)+1),ROWS(DataPemesanan!F$2:'DataPemesanan'!F141))),"")</f>
        <v/>
      </c>
      <c r="Z141" s="77" t="str">
        <f ca="1">IF(Y141="","",COUNTIF(DataRekapPembeli,"&lt;="&amp;$Y141))</f>
        <v/>
      </c>
      <c r="AA141" s="77" t="str">
        <f ca="1">IF(Z141="","",INDEX(DataRekapPembeli,MATCH(ROWS($Z$2:$Z141),$Z$2:$Z$201,0)))</f>
        <v/>
      </c>
    </row>
    <row r="142" spans="10:27">
      <c r="J142" t="str">
        <f t="array" aca="1" ref="J142" ca="1">IFERROR(INDEX(DaftarPembeli,SMALL(IF(OrderIDList=$I$2,ROW(DaftarPembeli)-ROW(PartsData!E$2)+1),ROWS(PartsData!E$2:'PartsData'!E142))),"")</f>
        <v/>
      </c>
      <c r="K142" t="str">
        <f ca="1">IF(J142="","",COUNTIF(ListPembeli,"&lt;="&amp;$J142))</f>
        <v/>
      </c>
      <c r="L142" t="str">
        <f ca="1">IF(K142="","",INDEX(ListPembeli,MATCH(ROWS($K$2:$K142),$K$2:$K$101,0)))</f>
        <v/>
      </c>
      <c r="N142" s="77" t="str">
        <f t="array" aca="1" ref="N142" ca="1">IFERROR(INDEX(DaftarPembeli,SMALL(IF(OrderIDList=$M$2,ROW(DaftarPembeli)-ROW(PartsData!E$2)+1),ROWS(PartsData!E$2:'PartsData'!E142))),"")</f>
        <v/>
      </c>
      <c r="O142" t="str">
        <f ca="1">IF(N142="","",COUNTIF(ListCariPembeli,"&lt;="&amp;$N142))</f>
        <v/>
      </c>
      <c r="P142" t="str">
        <f ca="1">IF(O142="","",INDEX(ListCariPembeli,MATCH(ROWS($O$2:$O142),$O$2:$O$201,0)))</f>
        <v/>
      </c>
      <c r="T142" s="77" t="str">
        <f t="array" aca="1" ref="T142" ca="1">IFERROR(INDEX(DaftarPembeli,SMALL(IF(OrderIDList=$S$2,ROW(DaftarPembeli)-ROW(PartsData!E$2)+1),ROWS(PartsData!E$2:'PartsData'!E142))),"")</f>
        <v/>
      </c>
      <c r="U142" s="77" t="str">
        <f ca="1">IF(T142="","",COUNTIF(ListNamaPembeli,"&lt;="&amp;$T142))</f>
        <v/>
      </c>
      <c r="V142" s="77" t="str">
        <f ca="1">IF(U142="","",INDEX(ListNamaPembeli,MATCH(ROWS($U$2:$U142),$U$2:$U$201,0)))</f>
        <v/>
      </c>
      <c r="Y142" s="77" t="str">
        <f t="array" aca="1" ref="Y142" ca="1">IFERROR(INDEX(RekapPembeli,SMALL(IF(RekapKontak=$X$2,ROW(RekapPembeli)-ROW(DataPemesanan!F$2)+1),ROWS(DataPemesanan!F$2:'DataPemesanan'!F142))),"")</f>
        <v/>
      </c>
      <c r="Z142" s="77" t="str">
        <f ca="1">IF(Y142="","",COUNTIF(DataRekapPembeli,"&lt;="&amp;$Y142))</f>
        <v/>
      </c>
      <c r="AA142" s="77" t="str">
        <f ca="1">IF(Z142="","",INDEX(DataRekapPembeli,MATCH(ROWS($Z$2:$Z142),$Z$2:$Z$201,0)))</f>
        <v/>
      </c>
    </row>
    <row r="143" spans="10:27">
      <c r="J143" t="str">
        <f t="array" aca="1" ref="J143" ca="1">IFERROR(INDEX(DaftarPembeli,SMALL(IF(OrderIDList=$I$2,ROW(DaftarPembeli)-ROW(PartsData!E$2)+1),ROWS(PartsData!E$2:'PartsData'!E143))),"")</f>
        <v/>
      </c>
      <c r="K143" t="str">
        <f ca="1">IF(J143="","",COUNTIF(ListPembeli,"&lt;="&amp;$J143))</f>
        <v/>
      </c>
      <c r="L143" t="str">
        <f ca="1">IF(K143="","",INDEX(ListPembeli,MATCH(ROWS($K$2:$K143),$K$2:$K$101,0)))</f>
        <v/>
      </c>
      <c r="N143" s="77" t="str">
        <f t="array" aca="1" ref="N143" ca="1">IFERROR(INDEX(DaftarPembeli,SMALL(IF(OrderIDList=$M$2,ROW(DaftarPembeli)-ROW(PartsData!E$2)+1),ROWS(PartsData!E$2:'PartsData'!E143))),"")</f>
        <v/>
      </c>
      <c r="O143" t="str">
        <f ca="1">IF(N143="","",COUNTIF(ListCariPembeli,"&lt;="&amp;$N143))</f>
        <v/>
      </c>
      <c r="P143" t="str">
        <f ca="1">IF(O143="","",INDEX(ListCariPembeli,MATCH(ROWS($O$2:$O143),$O$2:$O$201,0)))</f>
        <v/>
      </c>
      <c r="T143" s="77" t="str">
        <f t="array" aca="1" ref="T143" ca="1">IFERROR(INDEX(DaftarPembeli,SMALL(IF(OrderIDList=$S$2,ROW(DaftarPembeli)-ROW(PartsData!E$2)+1),ROWS(PartsData!E$2:'PartsData'!E143))),"")</f>
        <v/>
      </c>
      <c r="U143" s="77" t="str">
        <f ca="1">IF(T143="","",COUNTIF(ListNamaPembeli,"&lt;="&amp;$T143))</f>
        <v/>
      </c>
      <c r="V143" s="77" t="str">
        <f ca="1">IF(U143="","",INDEX(ListNamaPembeli,MATCH(ROWS($U$2:$U143),$U$2:$U$201,0)))</f>
        <v/>
      </c>
      <c r="Y143" s="77" t="str">
        <f t="array" aca="1" ref="Y143" ca="1">IFERROR(INDEX(RekapPembeli,SMALL(IF(RekapKontak=$X$2,ROW(RekapPembeli)-ROW(DataPemesanan!F$2)+1),ROWS(DataPemesanan!F$2:'DataPemesanan'!F143))),"")</f>
        <v/>
      </c>
      <c r="Z143" s="77" t="str">
        <f ca="1">IF(Y143="","",COUNTIF(DataRekapPembeli,"&lt;="&amp;$Y143))</f>
        <v/>
      </c>
      <c r="AA143" s="77" t="str">
        <f ca="1">IF(Z143="","",INDEX(DataRekapPembeli,MATCH(ROWS($Z$2:$Z143),$Z$2:$Z$201,0)))</f>
        <v/>
      </c>
    </row>
    <row r="144" spans="10:27">
      <c r="J144" t="str">
        <f t="array" aca="1" ref="J144" ca="1">IFERROR(INDEX(DaftarPembeli,SMALL(IF(OrderIDList=$I$2,ROW(DaftarPembeli)-ROW(PartsData!E$2)+1),ROWS(PartsData!E$2:'PartsData'!E144))),"")</f>
        <v/>
      </c>
      <c r="K144" t="str">
        <f ca="1">IF(J144="","",COUNTIF(ListPembeli,"&lt;="&amp;$J144))</f>
        <v/>
      </c>
      <c r="L144" t="str">
        <f ca="1">IF(K144="","",INDEX(ListPembeli,MATCH(ROWS($K$2:$K144),$K$2:$K$101,0)))</f>
        <v/>
      </c>
      <c r="N144" s="77" t="str">
        <f t="array" aca="1" ref="N144" ca="1">IFERROR(INDEX(DaftarPembeli,SMALL(IF(OrderIDList=$M$2,ROW(DaftarPembeli)-ROW(PartsData!E$2)+1),ROWS(PartsData!E$2:'PartsData'!E144))),"")</f>
        <v/>
      </c>
      <c r="O144" t="str">
        <f ca="1">IF(N144="","",COUNTIF(ListCariPembeli,"&lt;="&amp;$N144))</f>
        <v/>
      </c>
      <c r="P144" t="str">
        <f ca="1">IF(O144="","",INDEX(ListCariPembeli,MATCH(ROWS($O$2:$O144),$O$2:$O$201,0)))</f>
        <v/>
      </c>
      <c r="T144" s="77" t="str">
        <f t="array" aca="1" ref="T144" ca="1">IFERROR(INDEX(DaftarPembeli,SMALL(IF(OrderIDList=$S$2,ROW(DaftarPembeli)-ROW(PartsData!E$2)+1),ROWS(PartsData!E$2:'PartsData'!E144))),"")</f>
        <v/>
      </c>
      <c r="U144" s="77" t="str">
        <f ca="1">IF(T144="","",COUNTIF(ListNamaPembeli,"&lt;="&amp;$T144))</f>
        <v/>
      </c>
      <c r="V144" s="77" t="str">
        <f ca="1">IF(U144="","",INDEX(ListNamaPembeli,MATCH(ROWS($U$2:$U144),$U$2:$U$201,0)))</f>
        <v/>
      </c>
      <c r="Y144" s="77" t="str">
        <f t="array" aca="1" ref="Y144" ca="1">IFERROR(INDEX(RekapPembeli,SMALL(IF(RekapKontak=$X$2,ROW(RekapPembeli)-ROW(DataPemesanan!F$2)+1),ROWS(DataPemesanan!F$2:'DataPemesanan'!F144))),"")</f>
        <v/>
      </c>
      <c r="Z144" s="77" t="str">
        <f ca="1">IF(Y144="","",COUNTIF(DataRekapPembeli,"&lt;="&amp;$Y144))</f>
        <v/>
      </c>
      <c r="AA144" s="77" t="str">
        <f ca="1">IF(Z144="","",INDEX(DataRekapPembeli,MATCH(ROWS($Z$2:$Z144),$Z$2:$Z$201,0)))</f>
        <v/>
      </c>
    </row>
    <row r="145" spans="10:27">
      <c r="J145" t="str">
        <f t="array" aca="1" ref="J145" ca="1">IFERROR(INDEX(DaftarPembeli,SMALL(IF(OrderIDList=$I$2,ROW(DaftarPembeli)-ROW(PartsData!E$2)+1),ROWS(PartsData!E$2:'PartsData'!E145))),"")</f>
        <v/>
      </c>
      <c r="K145" t="str">
        <f ca="1">IF(J145="","",COUNTIF(ListPembeli,"&lt;="&amp;$J145))</f>
        <v/>
      </c>
      <c r="L145" t="str">
        <f ca="1">IF(K145="","",INDEX(ListPembeli,MATCH(ROWS($K$2:$K145),$K$2:$K$101,0)))</f>
        <v/>
      </c>
      <c r="N145" s="77" t="str">
        <f t="array" aca="1" ref="N145" ca="1">IFERROR(INDEX(DaftarPembeli,SMALL(IF(OrderIDList=$M$2,ROW(DaftarPembeli)-ROW(PartsData!E$2)+1),ROWS(PartsData!E$2:'PartsData'!E145))),"")</f>
        <v/>
      </c>
      <c r="O145" t="str">
        <f ca="1">IF(N145="","",COUNTIF(ListCariPembeli,"&lt;="&amp;$N145))</f>
        <v/>
      </c>
      <c r="P145" t="str">
        <f ca="1">IF(O145="","",INDEX(ListCariPembeli,MATCH(ROWS($O$2:$O145),$O$2:$O$201,0)))</f>
        <v/>
      </c>
      <c r="T145" s="77" t="str">
        <f t="array" aca="1" ref="T145" ca="1">IFERROR(INDEX(DaftarPembeli,SMALL(IF(OrderIDList=$S$2,ROW(DaftarPembeli)-ROW(PartsData!E$2)+1),ROWS(PartsData!E$2:'PartsData'!E145))),"")</f>
        <v/>
      </c>
      <c r="U145" s="77" t="str">
        <f ca="1">IF(T145="","",COUNTIF(ListNamaPembeli,"&lt;="&amp;$T145))</f>
        <v/>
      </c>
      <c r="V145" s="77" t="str">
        <f ca="1">IF(U145="","",INDEX(ListNamaPembeli,MATCH(ROWS($U$2:$U145),$U$2:$U$201,0)))</f>
        <v/>
      </c>
      <c r="Y145" s="77" t="str">
        <f t="array" aca="1" ref="Y145" ca="1">IFERROR(INDEX(RekapPembeli,SMALL(IF(RekapKontak=$X$2,ROW(RekapPembeli)-ROW(DataPemesanan!F$2)+1),ROWS(DataPemesanan!F$2:'DataPemesanan'!F145))),"")</f>
        <v/>
      </c>
      <c r="Z145" s="77" t="str">
        <f ca="1">IF(Y145="","",COUNTIF(DataRekapPembeli,"&lt;="&amp;$Y145))</f>
        <v/>
      </c>
      <c r="AA145" s="77" t="str">
        <f ca="1">IF(Z145="","",INDEX(DataRekapPembeli,MATCH(ROWS($Z$2:$Z145),$Z$2:$Z$201,0)))</f>
        <v/>
      </c>
    </row>
    <row r="146" spans="10:27">
      <c r="J146" t="str">
        <f t="array" aca="1" ref="J146" ca="1">IFERROR(INDEX(DaftarPembeli,SMALL(IF(OrderIDList=$I$2,ROW(DaftarPembeli)-ROW(PartsData!E$2)+1),ROWS(PartsData!E$2:'PartsData'!E146))),"")</f>
        <v/>
      </c>
      <c r="K146" t="str">
        <f ca="1">IF(J146="","",COUNTIF(ListPembeli,"&lt;="&amp;$J146))</f>
        <v/>
      </c>
      <c r="L146" t="str">
        <f ca="1">IF(K146="","",INDEX(ListPembeli,MATCH(ROWS($K$2:$K146),$K$2:$K$101,0)))</f>
        <v/>
      </c>
      <c r="N146" s="77" t="str">
        <f t="array" aca="1" ref="N146" ca="1">IFERROR(INDEX(DaftarPembeli,SMALL(IF(OrderIDList=$M$2,ROW(DaftarPembeli)-ROW(PartsData!E$2)+1),ROWS(PartsData!E$2:'PartsData'!E146))),"")</f>
        <v/>
      </c>
      <c r="O146" t="str">
        <f ca="1">IF(N146="","",COUNTIF(ListCariPembeli,"&lt;="&amp;$N146))</f>
        <v/>
      </c>
      <c r="P146" t="str">
        <f ca="1">IF(O146="","",INDEX(ListCariPembeli,MATCH(ROWS($O$2:$O146),$O$2:$O$201,0)))</f>
        <v/>
      </c>
      <c r="T146" s="77" t="str">
        <f t="array" aca="1" ref="T146" ca="1">IFERROR(INDEX(DaftarPembeli,SMALL(IF(OrderIDList=$S$2,ROW(DaftarPembeli)-ROW(PartsData!E$2)+1),ROWS(PartsData!E$2:'PartsData'!E146))),"")</f>
        <v/>
      </c>
      <c r="U146" s="77" t="str">
        <f ca="1">IF(T146="","",COUNTIF(ListNamaPembeli,"&lt;="&amp;$T146))</f>
        <v/>
      </c>
      <c r="V146" s="77" t="str">
        <f ca="1">IF(U146="","",INDEX(ListNamaPembeli,MATCH(ROWS($U$2:$U146),$U$2:$U$201,0)))</f>
        <v/>
      </c>
      <c r="Y146" s="77" t="str">
        <f t="array" aca="1" ref="Y146" ca="1">IFERROR(INDEX(RekapPembeli,SMALL(IF(RekapKontak=$X$2,ROW(RekapPembeli)-ROW(DataPemesanan!F$2)+1),ROWS(DataPemesanan!F$2:'DataPemesanan'!F146))),"")</f>
        <v/>
      </c>
      <c r="Z146" s="77" t="str">
        <f ca="1">IF(Y146="","",COUNTIF(DataRekapPembeli,"&lt;="&amp;$Y146))</f>
        <v/>
      </c>
      <c r="AA146" s="77" t="str">
        <f ca="1">IF(Z146="","",INDEX(DataRekapPembeli,MATCH(ROWS($Z$2:$Z146),$Z$2:$Z$201,0)))</f>
        <v/>
      </c>
    </row>
    <row r="147" spans="10:27">
      <c r="J147" t="str">
        <f t="array" aca="1" ref="J147" ca="1">IFERROR(INDEX(DaftarPembeli,SMALL(IF(OrderIDList=$I$2,ROW(DaftarPembeli)-ROW(PartsData!E$2)+1),ROWS(PartsData!E$2:'PartsData'!E147))),"")</f>
        <v/>
      </c>
      <c r="K147" t="str">
        <f ca="1">IF(J147="","",COUNTIF(ListPembeli,"&lt;="&amp;$J147))</f>
        <v/>
      </c>
      <c r="L147" t="str">
        <f ca="1">IF(K147="","",INDEX(ListPembeli,MATCH(ROWS($K$2:$K147),$K$2:$K$101,0)))</f>
        <v/>
      </c>
      <c r="N147" s="77" t="str">
        <f t="array" aca="1" ref="N147" ca="1">IFERROR(INDEX(DaftarPembeli,SMALL(IF(OrderIDList=$M$2,ROW(DaftarPembeli)-ROW(PartsData!E$2)+1),ROWS(PartsData!E$2:'PartsData'!E147))),"")</f>
        <v/>
      </c>
      <c r="O147" t="str">
        <f ca="1">IF(N147="","",COUNTIF(ListCariPembeli,"&lt;="&amp;$N147))</f>
        <v/>
      </c>
      <c r="P147" t="str">
        <f ca="1">IF(O147="","",INDEX(ListCariPembeli,MATCH(ROWS($O$2:$O147),$O$2:$O$201,0)))</f>
        <v/>
      </c>
      <c r="T147" s="77" t="str">
        <f t="array" aca="1" ref="T147" ca="1">IFERROR(INDEX(DaftarPembeli,SMALL(IF(OrderIDList=$S$2,ROW(DaftarPembeli)-ROW(PartsData!E$2)+1),ROWS(PartsData!E$2:'PartsData'!E147))),"")</f>
        <v/>
      </c>
      <c r="U147" s="77" t="str">
        <f ca="1">IF(T147="","",COUNTIF(ListNamaPembeli,"&lt;="&amp;$T147))</f>
        <v/>
      </c>
      <c r="V147" s="77" t="str">
        <f ca="1">IF(U147="","",INDEX(ListNamaPembeli,MATCH(ROWS($U$2:$U147),$U$2:$U$201,0)))</f>
        <v/>
      </c>
      <c r="Y147" s="77" t="str">
        <f t="array" aca="1" ref="Y147" ca="1">IFERROR(INDEX(RekapPembeli,SMALL(IF(RekapKontak=$X$2,ROW(RekapPembeli)-ROW(DataPemesanan!F$2)+1),ROWS(DataPemesanan!F$2:'DataPemesanan'!F147))),"")</f>
        <v/>
      </c>
      <c r="Z147" s="77" t="str">
        <f ca="1">IF(Y147="","",COUNTIF(DataRekapPembeli,"&lt;="&amp;$Y147))</f>
        <v/>
      </c>
      <c r="AA147" s="77" t="str">
        <f ca="1">IF(Z147="","",INDEX(DataRekapPembeli,MATCH(ROWS($Z$2:$Z147),$Z$2:$Z$201,0)))</f>
        <v/>
      </c>
    </row>
    <row r="148" spans="10:27">
      <c r="J148" t="str">
        <f t="array" aca="1" ref="J148" ca="1">IFERROR(INDEX(DaftarPembeli,SMALL(IF(OrderIDList=$I$2,ROW(DaftarPembeli)-ROW(PartsData!E$2)+1),ROWS(PartsData!E$2:'PartsData'!E148))),"")</f>
        <v/>
      </c>
      <c r="K148" t="str">
        <f ca="1">IF(J148="","",COUNTIF(ListPembeli,"&lt;="&amp;$J148))</f>
        <v/>
      </c>
      <c r="L148" t="str">
        <f ca="1">IF(K148="","",INDEX(ListPembeli,MATCH(ROWS($K$2:$K148),$K$2:$K$101,0)))</f>
        <v/>
      </c>
      <c r="N148" s="77" t="str">
        <f t="array" aca="1" ref="N148" ca="1">IFERROR(INDEX(DaftarPembeli,SMALL(IF(OrderIDList=$M$2,ROW(DaftarPembeli)-ROW(PartsData!E$2)+1),ROWS(PartsData!E$2:'PartsData'!E148))),"")</f>
        <v/>
      </c>
      <c r="O148" t="str">
        <f ca="1">IF(N148="","",COUNTIF(ListCariPembeli,"&lt;="&amp;$N148))</f>
        <v/>
      </c>
      <c r="P148" t="str">
        <f ca="1">IF(O148="","",INDEX(ListCariPembeli,MATCH(ROWS($O$2:$O148),$O$2:$O$201,0)))</f>
        <v/>
      </c>
      <c r="T148" s="77" t="str">
        <f t="array" aca="1" ref="T148" ca="1">IFERROR(INDEX(DaftarPembeli,SMALL(IF(OrderIDList=$S$2,ROW(DaftarPembeli)-ROW(PartsData!E$2)+1),ROWS(PartsData!E$2:'PartsData'!E148))),"")</f>
        <v/>
      </c>
      <c r="U148" s="77" t="str">
        <f ca="1">IF(T148="","",COUNTIF(ListNamaPembeli,"&lt;="&amp;$T148))</f>
        <v/>
      </c>
      <c r="V148" s="77" t="str">
        <f ca="1">IF(U148="","",INDEX(ListNamaPembeli,MATCH(ROWS($U$2:$U148),$U$2:$U$201,0)))</f>
        <v/>
      </c>
      <c r="Y148" s="77" t="str">
        <f t="array" aca="1" ref="Y148" ca="1">IFERROR(INDEX(RekapPembeli,SMALL(IF(RekapKontak=$X$2,ROW(RekapPembeli)-ROW(DataPemesanan!F$2)+1),ROWS(DataPemesanan!F$2:'DataPemesanan'!F148))),"")</f>
        <v/>
      </c>
      <c r="Z148" s="77" t="str">
        <f ca="1">IF(Y148="","",COUNTIF(DataRekapPembeli,"&lt;="&amp;$Y148))</f>
        <v/>
      </c>
      <c r="AA148" s="77" t="str">
        <f ca="1">IF(Z148="","",INDEX(DataRekapPembeli,MATCH(ROWS($Z$2:$Z148),$Z$2:$Z$201,0)))</f>
        <v/>
      </c>
    </row>
    <row r="149" spans="10:27">
      <c r="J149" t="str">
        <f t="array" aca="1" ref="J149" ca="1">IFERROR(INDEX(DaftarPembeli,SMALL(IF(OrderIDList=$I$2,ROW(DaftarPembeli)-ROW(PartsData!E$2)+1),ROWS(PartsData!E$2:'PartsData'!E149))),"")</f>
        <v/>
      </c>
      <c r="K149" t="str">
        <f ca="1">IF(J149="","",COUNTIF(ListPembeli,"&lt;="&amp;$J149))</f>
        <v/>
      </c>
      <c r="L149" t="str">
        <f ca="1">IF(K149="","",INDEX(ListPembeli,MATCH(ROWS($K$2:$K149),$K$2:$K$101,0)))</f>
        <v/>
      </c>
      <c r="N149" s="77" t="str">
        <f t="array" aca="1" ref="N149" ca="1">IFERROR(INDEX(DaftarPembeli,SMALL(IF(OrderIDList=$M$2,ROW(DaftarPembeli)-ROW(PartsData!E$2)+1),ROWS(PartsData!E$2:'PartsData'!E149))),"")</f>
        <v/>
      </c>
      <c r="O149" t="str">
        <f ca="1">IF(N149="","",COUNTIF(ListCariPembeli,"&lt;="&amp;$N149))</f>
        <v/>
      </c>
      <c r="P149" t="str">
        <f ca="1">IF(O149="","",INDEX(ListCariPembeli,MATCH(ROWS($O$2:$O149),$O$2:$O$201,0)))</f>
        <v/>
      </c>
      <c r="T149" s="77" t="str">
        <f t="array" aca="1" ref="T149" ca="1">IFERROR(INDEX(DaftarPembeli,SMALL(IF(OrderIDList=$S$2,ROW(DaftarPembeli)-ROW(PartsData!E$2)+1),ROWS(PartsData!E$2:'PartsData'!E149))),"")</f>
        <v/>
      </c>
      <c r="U149" s="77" t="str">
        <f ca="1">IF(T149="","",COUNTIF(ListNamaPembeli,"&lt;="&amp;$T149))</f>
        <v/>
      </c>
      <c r="V149" s="77" t="str">
        <f ca="1">IF(U149="","",INDEX(ListNamaPembeli,MATCH(ROWS($U$2:$U149),$U$2:$U$201,0)))</f>
        <v/>
      </c>
      <c r="Y149" s="77" t="str">
        <f t="array" aca="1" ref="Y149" ca="1">IFERROR(INDEX(RekapPembeli,SMALL(IF(RekapKontak=$X$2,ROW(RekapPembeli)-ROW(DataPemesanan!F$2)+1),ROWS(DataPemesanan!F$2:'DataPemesanan'!F149))),"")</f>
        <v/>
      </c>
      <c r="Z149" s="77" t="str">
        <f ca="1">IF(Y149="","",COUNTIF(DataRekapPembeli,"&lt;="&amp;$Y149))</f>
        <v/>
      </c>
      <c r="AA149" s="77" t="str">
        <f ca="1">IF(Z149="","",INDEX(DataRekapPembeli,MATCH(ROWS($Z$2:$Z149),$Z$2:$Z$201,0)))</f>
        <v/>
      </c>
    </row>
    <row r="150" spans="10:27">
      <c r="J150" t="str">
        <f t="array" aca="1" ref="J150" ca="1">IFERROR(INDEX(DaftarPembeli,SMALL(IF(OrderIDList=$I$2,ROW(DaftarPembeli)-ROW(PartsData!E$2)+1),ROWS(PartsData!E$2:'PartsData'!E150))),"")</f>
        <v/>
      </c>
      <c r="K150" t="str">
        <f ca="1">IF(J150="","",COUNTIF(ListPembeli,"&lt;="&amp;$J150))</f>
        <v/>
      </c>
      <c r="L150" t="str">
        <f ca="1">IF(K150="","",INDEX(ListPembeli,MATCH(ROWS($K$2:$K150),$K$2:$K$101,0)))</f>
        <v/>
      </c>
      <c r="N150" s="77" t="str">
        <f t="array" aca="1" ref="N150" ca="1">IFERROR(INDEX(DaftarPembeli,SMALL(IF(OrderIDList=$M$2,ROW(DaftarPembeli)-ROW(PartsData!E$2)+1),ROWS(PartsData!E$2:'PartsData'!E150))),"")</f>
        <v/>
      </c>
      <c r="O150" t="str">
        <f ca="1">IF(N150="","",COUNTIF(ListCariPembeli,"&lt;="&amp;$N150))</f>
        <v/>
      </c>
      <c r="P150" t="str">
        <f ca="1">IF(O150="","",INDEX(ListCariPembeli,MATCH(ROWS($O$2:$O150),$O$2:$O$201,0)))</f>
        <v/>
      </c>
      <c r="T150" s="77" t="str">
        <f t="array" aca="1" ref="T150" ca="1">IFERROR(INDEX(DaftarPembeli,SMALL(IF(OrderIDList=$S$2,ROW(DaftarPembeli)-ROW(PartsData!E$2)+1),ROWS(PartsData!E$2:'PartsData'!E150))),"")</f>
        <v/>
      </c>
      <c r="U150" s="77" t="str">
        <f ca="1">IF(T150="","",COUNTIF(ListNamaPembeli,"&lt;="&amp;$T150))</f>
        <v/>
      </c>
      <c r="V150" s="77" t="str">
        <f ca="1">IF(U150="","",INDEX(ListNamaPembeli,MATCH(ROWS($U$2:$U150),$U$2:$U$201,0)))</f>
        <v/>
      </c>
      <c r="Y150" s="77" t="str">
        <f t="array" aca="1" ref="Y150" ca="1">IFERROR(INDEX(RekapPembeli,SMALL(IF(RekapKontak=$X$2,ROW(RekapPembeli)-ROW(DataPemesanan!F$2)+1),ROWS(DataPemesanan!F$2:'DataPemesanan'!F150))),"")</f>
        <v/>
      </c>
      <c r="Z150" s="77" t="str">
        <f ca="1">IF(Y150="","",COUNTIF(DataRekapPembeli,"&lt;="&amp;$Y150))</f>
        <v/>
      </c>
      <c r="AA150" s="77" t="str">
        <f ca="1">IF(Z150="","",INDEX(DataRekapPembeli,MATCH(ROWS($Z$2:$Z150),$Z$2:$Z$201,0)))</f>
        <v/>
      </c>
    </row>
    <row r="151" spans="10:27">
      <c r="J151" t="str">
        <f t="array" aca="1" ref="J151" ca="1">IFERROR(INDEX(DaftarPembeli,SMALL(IF(OrderIDList=$I$2,ROW(DaftarPembeli)-ROW(PartsData!E$2)+1),ROWS(PartsData!E$2:'PartsData'!E151))),"")</f>
        <v/>
      </c>
      <c r="K151" t="str">
        <f ca="1">IF(J151="","",COUNTIF(ListPembeli,"&lt;="&amp;$J151))</f>
        <v/>
      </c>
      <c r="L151" t="str">
        <f ca="1">IF(K151="","",INDEX(ListPembeli,MATCH(ROWS($K$2:$K151),$K$2:$K$101,0)))</f>
        <v/>
      </c>
      <c r="N151" s="77" t="str">
        <f t="array" aca="1" ref="N151" ca="1">IFERROR(INDEX(DaftarPembeli,SMALL(IF(OrderIDList=$M$2,ROW(DaftarPembeli)-ROW(PartsData!E$2)+1),ROWS(PartsData!E$2:'PartsData'!E151))),"")</f>
        <v/>
      </c>
      <c r="O151" t="str">
        <f ca="1">IF(N151="","",COUNTIF(ListCariPembeli,"&lt;="&amp;$N151))</f>
        <v/>
      </c>
      <c r="P151" t="str">
        <f ca="1">IF(O151="","",INDEX(ListCariPembeli,MATCH(ROWS($O$2:$O151),$O$2:$O$201,0)))</f>
        <v/>
      </c>
      <c r="T151" s="77" t="str">
        <f t="array" aca="1" ref="T151" ca="1">IFERROR(INDEX(DaftarPembeli,SMALL(IF(OrderIDList=$S$2,ROW(DaftarPembeli)-ROW(PartsData!E$2)+1),ROWS(PartsData!E$2:'PartsData'!E151))),"")</f>
        <v/>
      </c>
      <c r="U151" s="77" t="str">
        <f ca="1">IF(T151="","",COUNTIF(ListNamaPembeli,"&lt;="&amp;$T151))</f>
        <v/>
      </c>
      <c r="V151" s="77" t="str">
        <f ca="1">IF(U151="","",INDEX(ListNamaPembeli,MATCH(ROWS($U$2:$U151),$U$2:$U$201,0)))</f>
        <v/>
      </c>
      <c r="Y151" s="77" t="str">
        <f t="array" aca="1" ref="Y151" ca="1">IFERROR(INDEX(RekapPembeli,SMALL(IF(RekapKontak=$X$2,ROW(RekapPembeli)-ROW(DataPemesanan!F$2)+1),ROWS(DataPemesanan!F$2:'DataPemesanan'!F151))),"")</f>
        <v/>
      </c>
      <c r="Z151" s="77" t="str">
        <f ca="1">IF(Y151="","",COUNTIF(DataRekapPembeli,"&lt;="&amp;$Y151))</f>
        <v/>
      </c>
      <c r="AA151" s="77" t="str">
        <f ca="1">IF(Z151="","",INDEX(DataRekapPembeli,MATCH(ROWS($Z$2:$Z151),$Z$2:$Z$201,0)))</f>
        <v/>
      </c>
    </row>
    <row r="152" spans="10:27">
      <c r="J152" t="str">
        <f t="array" aca="1" ref="J152" ca="1">IFERROR(INDEX(DaftarPembeli,SMALL(IF(OrderIDList=$I$2,ROW(DaftarPembeli)-ROW(PartsData!E$2)+1),ROWS(PartsData!E$2:'PartsData'!E152))),"")</f>
        <v/>
      </c>
      <c r="K152" t="str">
        <f ca="1">IF(J152="","",COUNTIF(ListPembeli,"&lt;="&amp;$J152))</f>
        <v/>
      </c>
      <c r="L152" t="str">
        <f ca="1">IF(K152="","",INDEX(ListPembeli,MATCH(ROWS($K$2:$K152),$K$2:$K$101,0)))</f>
        <v/>
      </c>
      <c r="N152" s="77" t="str">
        <f t="array" aca="1" ref="N152" ca="1">IFERROR(INDEX(DaftarPembeli,SMALL(IF(OrderIDList=$M$2,ROW(DaftarPembeli)-ROW(PartsData!E$2)+1),ROWS(PartsData!E$2:'PartsData'!E152))),"")</f>
        <v/>
      </c>
      <c r="O152" t="str">
        <f ca="1">IF(N152="","",COUNTIF(ListCariPembeli,"&lt;="&amp;$N152))</f>
        <v/>
      </c>
      <c r="P152" t="str">
        <f ca="1">IF(O152="","",INDEX(ListCariPembeli,MATCH(ROWS($O$2:$O152),$O$2:$O$201,0)))</f>
        <v/>
      </c>
      <c r="T152" s="77" t="str">
        <f t="array" aca="1" ref="T152" ca="1">IFERROR(INDEX(DaftarPembeli,SMALL(IF(OrderIDList=$S$2,ROW(DaftarPembeli)-ROW(PartsData!E$2)+1),ROWS(PartsData!E$2:'PartsData'!E152))),"")</f>
        <v/>
      </c>
      <c r="U152" s="77" t="str">
        <f ca="1">IF(T152="","",COUNTIF(ListNamaPembeli,"&lt;="&amp;$T152))</f>
        <v/>
      </c>
      <c r="V152" s="77" t="str">
        <f ca="1">IF(U152="","",INDEX(ListNamaPembeli,MATCH(ROWS($U$2:$U152),$U$2:$U$201,0)))</f>
        <v/>
      </c>
      <c r="Y152" s="77" t="str">
        <f t="array" aca="1" ref="Y152" ca="1">IFERROR(INDEX(RekapPembeli,SMALL(IF(RekapKontak=$X$2,ROW(RekapPembeli)-ROW(DataPemesanan!F$2)+1),ROWS(DataPemesanan!F$2:'DataPemesanan'!F152))),"")</f>
        <v/>
      </c>
      <c r="Z152" s="77" t="str">
        <f ca="1">IF(Y152="","",COUNTIF(DataRekapPembeli,"&lt;="&amp;$Y152))</f>
        <v/>
      </c>
      <c r="AA152" s="77" t="str">
        <f ca="1">IF(Z152="","",INDEX(DataRekapPembeli,MATCH(ROWS($Z$2:$Z152),$Z$2:$Z$201,0)))</f>
        <v/>
      </c>
    </row>
    <row r="153" spans="10:27">
      <c r="J153" t="str">
        <f t="array" aca="1" ref="J153" ca="1">IFERROR(INDEX(DaftarPembeli,SMALL(IF(OrderIDList=$I$2,ROW(DaftarPembeli)-ROW(PartsData!E$2)+1),ROWS(PartsData!E$2:'PartsData'!E153))),"")</f>
        <v/>
      </c>
      <c r="K153" t="str">
        <f ca="1">IF(J153="","",COUNTIF(ListPembeli,"&lt;="&amp;$J153))</f>
        <v/>
      </c>
      <c r="L153" t="str">
        <f ca="1">IF(K153="","",INDEX(ListPembeli,MATCH(ROWS($K$2:$K153),$K$2:$K$101,0)))</f>
        <v/>
      </c>
      <c r="N153" s="77" t="str">
        <f t="array" aca="1" ref="N153" ca="1">IFERROR(INDEX(DaftarPembeli,SMALL(IF(OrderIDList=$M$2,ROW(DaftarPembeli)-ROW(PartsData!E$2)+1),ROWS(PartsData!E$2:'PartsData'!E153))),"")</f>
        <v/>
      </c>
      <c r="O153" t="str">
        <f ca="1">IF(N153="","",COUNTIF(ListCariPembeli,"&lt;="&amp;$N153))</f>
        <v/>
      </c>
      <c r="P153" t="str">
        <f ca="1">IF(O153="","",INDEX(ListCariPembeli,MATCH(ROWS($O$2:$O153),$O$2:$O$201,0)))</f>
        <v/>
      </c>
      <c r="T153" s="77" t="str">
        <f t="array" aca="1" ref="T153" ca="1">IFERROR(INDEX(DaftarPembeli,SMALL(IF(OrderIDList=$S$2,ROW(DaftarPembeli)-ROW(PartsData!E$2)+1),ROWS(PartsData!E$2:'PartsData'!E153))),"")</f>
        <v/>
      </c>
      <c r="U153" s="77" t="str">
        <f ca="1">IF(T153="","",COUNTIF(ListNamaPembeli,"&lt;="&amp;$T153))</f>
        <v/>
      </c>
      <c r="V153" s="77" t="str">
        <f ca="1">IF(U153="","",INDEX(ListNamaPembeli,MATCH(ROWS($U$2:$U153),$U$2:$U$201,0)))</f>
        <v/>
      </c>
      <c r="Y153" s="77" t="str">
        <f t="array" aca="1" ref="Y153" ca="1">IFERROR(INDEX(RekapPembeli,SMALL(IF(RekapKontak=$X$2,ROW(RekapPembeli)-ROW(DataPemesanan!F$2)+1),ROWS(DataPemesanan!F$2:'DataPemesanan'!F153))),"")</f>
        <v/>
      </c>
      <c r="Z153" s="77" t="str">
        <f ca="1">IF(Y153="","",COUNTIF(DataRekapPembeli,"&lt;="&amp;$Y153))</f>
        <v/>
      </c>
      <c r="AA153" s="77" t="str">
        <f ca="1">IF(Z153="","",INDEX(DataRekapPembeli,MATCH(ROWS($Z$2:$Z153),$Z$2:$Z$201,0)))</f>
        <v/>
      </c>
    </row>
    <row r="154" spans="10:27">
      <c r="J154" t="str">
        <f t="array" aca="1" ref="J154" ca="1">IFERROR(INDEX(DaftarPembeli,SMALL(IF(OrderIDList=$I$2,ROW(DaftarPembeli)-ROW(PartsData!E$2)+1),ROWS(PartsData!E$2:'PartsData'!E154))),"")</f>
        <v/>
      </c>
      <c r="K154" t="str">
        <f ca="1">IF(J154="","",COUNTIF(ListPembeli,"&lt;="&amp;$J154))</f>
        <v/>
      </c>
      <c r="L154" t="str">
        <f ca="1">IF(K154="","",INDEX(ListPembeli,MATCH(ROWS($K$2:$K154),$K$2:$K$101,0)))</f>
        <v/>
      </c>
      <c r="N154" s="77" t="str">
        <f t="array" aca="1" ref="N154" ca="1">IFERROR(INDEX(DaftarPembeli,SMALL(IF(OrderIDList=$M$2,ROW(DaftarPembeli)-ROW(PartsData!E$2)+1),ROWS(PartsData!E$2:'PartsData'!E154))),"")</f>
        <v/>
      </c>
      <c r="O154" t="str">
        <f ca="1">IF(N154="","",COUNTIF(ListCariPembeli,"&lt;="&amp;$N154))</f>
        <v/>
      </c>
      <c r="P154" t="str">
        <f ca="1">IF(O154="","",INDEX(ListCariPembeli,MATCH(ROWS($O$2:$O154),$O$2:$O$201,0)))</f>
        <v/>
      </c>
      <c r="T154" s="77" t="str">
        <f t="array" aca="1" ref="T154" ca="1">IFERROR(INDEX(DaftarPembeli,SMALL(IF(OrderIDList=$S$2,ROW(DaftarPembeli)-ROW(PartsData!E$2)+1),ROWS(PartsData!E$2:'PartsData'!E154))),"")</f>
        <v/>
      </c>
      <c r="U154" s="77" t="str">
        <f ca="1">IF(T154="","",COUNTIF(ListNamaPembeli,"&lt;="&amp;$T154))</f>
        <v/>
      </c>
      <c r="V154" s="77" t="str">
        <f ca="1">IF(U154="","",INDEX(ListNamaPembeli,MATCH(ROWS($U$2:$U154),$U$2:$U$201,0)))</f>
        <v/>
      </c>
      <c r="Y154" s="77" t="str">
        <f t="array" aca="1" ref="Y154" ca="1">IFERROR(INDEX(RekapPembeli,SMALL(IF(RekapKontak=$X$2,ROW(RekapPembeli)-ROW(DataPemesanan!F$2)+1),ROWS(DataPemesanan!F$2:'DataPemesanan'!F154))),"")</f>
        <v/>
      </c>
      <c r="Z154" s="77" t="str">
        <f ca="1">IF(Y154="","",COUNTIF(DataRekapPembeli,"&lt;="&amp;$Y154))</f>
        <v/>
      </c>
      <c r="AA154" s="77" t="str">
        <f ca="1">IF(Z154="","",INDEX(DataRekapPembeli,MATCH(ROWS($Z$2:$Z154),$Z$2:$Z$201,0)))</f>
        <v/>
      </c>
    </row>
    <row r="155" spans="10:27">
      <c r="J155" t="str">
        <f t="array" aca="1" ref="J155" ca="1">IFERROR(INDEX(DaftarPembeli,SMALL(IF(OrderIDList=$I$2,ROW(DaftarPembeli)-ROW(PartsData!E$2)+1),ROWS(PartsData!E$2:'PartsData'!E155))),"")</f>
        <v/>
      </c>
      <c r="K155" t="str">
        <f ca="1">IF(J155="","",COUNTIF(ListPembeli,"&lt;="&amp;$J155))</f>
        <v/>
      </c>
      <c r="L155" t="str">
        <f ca="1">IF(K155="","",INDEX(ListPembeli,MATCH(ROWS($K$2:$K155),$K$2:$K$101,0)))</f>
        <v/>
      </c>
      <c r="N155" s="77" t="str">
        <f t="array" aca="1" ref="N155" ca="1">IFERROR(INDEX(DaftarPembeli,SMALL(IF(OrderIDList=$M$2,ROW(DaftarPembeli)-ROW(PartsData!E$2)+1),ROWS(PartsData!E$2:'PartsData'!E155))),"")</f>
        <v/>
      </c>
      <c r="O155" t="str">
        <f ca="1">IF(N155="","",COUNTIF(ListCariPembeli,"&lt;="&amp;$N155))</f>
        <v/>
      </c>
      <c r="P155" t="str">
        <f ca="1">IF(O155="","",INDEX(ListCariPembeli,MATCH(ROWS($O$2:$O155),$O$2:$O$201,0)))</f>
        <v/>
      </c>
      <c r="T155" s="77" t="str">
        <f t="array" aca="1" ref="T155" ca="1">IFERROR(INDEX(DaftarPembeli,SMALL(IF(OrderIDList=$S$2,ROW(DaftarPembeli)-ROW(PartsData!E$2)+1),ROWS(PartsData!E$2:'PartsData'!E155))),"")</f>
        <v/>
      </c>
      <c r="U155" s="77" t="str">
        <f ca="1">IF(T155="","",COUNTIF(ListNamaPembeli,"&lt;="&amp;$T155))</f>
        <v/>
      </c>
      <c r="V155" s="77" t="str">
        <f ca="1">IF(U155="","",INDEX(ListNamaPembeli,MATCH(ROWS($U$2:$U155),$U$2:$U$201,0)))</f>
        <v/>
      </c>
      <c r="Y155" s="77" t="str">
        <f t="array" aca="1" ref="Y155" ca="1">IFERROR(INDEX(RekapPembeli,SMALL(IF(RekapKontak=$X$2,ROW(RekapPembeli)-ROW(DataPemesanan!F$2)+1),ROWS(DataPemesanan!F$2:'DataPemesanan'!F155))),"")</f>
        <v/>
      </c>
      <c r="Z155" s="77" t="str">
        <f ca="1">IF(Y155="","",COUNTIF(DataRekapPembeli,"&lt;="&amp;$Y155))</f>
        <v/>
      </c>
      <c r="AA155" s="77" t="str">
        <f ca="1">IF(Z155="","",INDEX(DataRekapPembeli,MATCH(ROWS($Z$2:$Z155),$Z$2:$Z$201,0)))</f>
        <v/>
      </c>
    </row>
    <row r="156" spans="10:27">
      <c r="J156" t="str">
        <f t="array" aca="1" ref="J156" ca="1">IFERROR(INDEX(DaftarPembeli,SMALL(IF(OrderIDList=$I$2,ROW(DaftarPembeli)-ROW(PartsData!E$2)+1),ROWS(PartsData!E$2:'PartsData'!E156))),"")</f>
        <v/>
      </c>
      <c r="K156" t="str">
        <f ca="1">IF(J156="","",COUNTIF(ListPembeli,"&lt;="&amp;$J156))</f>
        <v/>
      </c>
      <c r="L156" t="str">
        <f ca="1">IF(K156="","",INDEX(ListPembeli,MATCH(ROWS($K$2:$K156),$K$2:$K$101,0)))</f>
        <v/>
      </c>
      <c r="N156" s="77" t="str">
        <f t="array" aca="1" ref="N156" ca="1">IFERROR(INDEX(DaftarPembeli,SMALL(IF(OrderIDList=$M$2,ROW(DaftarPembeli)-ROW(PartsData!E$2)+1),ROWS(PartsData!E$2:'PartsData'!E156))),"")</f>
        <v/>
      </c>
      <c r="O156" t="str">
        <f ca="1">IF(N156="","",COUNTIF(ListCariPembeli,"&lt;="&amp;$N156))</f>
        <v/>
      </c>
      <c r="P156" t="str">
        <f ca="1">IF(O156="","",INDEX(ListCariPembeli,MATCH(ROWS($O$2:$O156),$O$2:$O$201,0)))</f>
        <v/>
      </c>
      <c r="T156" s="77" t="str">
        <f t="array" aca="1" ref="T156" ca="1">IFERROR(INDEX(DaftarPembeli,SMALL(IF(OrderIDList=$S$2,ROW(DaftarPembeli)-ROW(PartsData!E$2)+1),ROWS(PartsData!E$2:'PartsData'!E156))),"")</f>
        <v/>
      </c>
      <c r="U156" s="77" t="str">
        <f ca="1">IF(T156="","",COUNTIF(ListNamaPembeli,"&lt;="&amp;$T156))</f>
        <v/>
      </c>
      <c r="V156" s="77" t="str">
        <f ca="1">IF(U156="","",INDEX(ListNamaPembeli,MATCH(ROWS($U$2:$U156),$U$2:$U$201,0)))</f>
        <v/>
      </c>
      <c r="Y156" s="77" t="str">
        <f t="array" aca="1" ref="Y156" ca="1">IFERROR(INDEX(RekapPembeli,SMALL(IF(RekapKontak=$X$2,ROW(RekapPembeli)-ROW(DataPemesanan!F$2)+1),ROWS(DataPemesanan!F$2:'DataPemesanan'!F156))),"")</f>
        <v/>
      </c>
      <c r="Z156" s="77" t="str">
        <f ca="1">IF(Y156="","",COUNTIF(DataRekapPembeli,"&lt;="&amp;$Y156))</f>
        <v/>
      </c>
      <c r="AA156" s="77" t="str">
        <f ca="1">IF(Z156="","",INDEX(DataRekapPembeli,MATCH(ROWS($Z$2:$Z156),$Z$2:$Z$201,0)))</f>
        <v/>
      </c>
    </row>
    <row r="157" spans="10:27">
      <c r="J157" t="str">
        <f t="array" aca="1" ref="J157" ca="1">IFERROR(INDEX(DaftarPembeli,SMALL(IF(OrderIDList=$I$2,ROW(DaftarPembeli)-ROW(PartsData!E$2)+1),ROWS(PartsData!E$2:'PartsData'!E157))),"")</f>
        <v/>
      </c>
      <c r="K157" t="str">
        <f ca="1">IF(J157="","",COUNTIF(ListPembeli,"&lt;="&amp;$J157))</f>
        <v/>
      </c>
      <c r="L157" t="str">
        <f ca="1">IF(K157="","",INDEX(ListPembeli,MATCH(ROWS($K$2:$K157),$K$2:$K$101,0)))</f>
        <v/>
      </c>
      <c r="N157" s="77" t="str">
        <f t="array" aca="1" ref="N157" ca="1">IFERROR(INDEX(DaftarPembeli,SMALL(IF(OrderIDList=$M$2,ROW(DaftarPembeli)-ROW(PartsData!E$2)+1),ROWS(PartsData!E$2:'PartsData'!E157))),"")</f>
        <v/>
      </c>
      <c r="O157" t="str">
        <f ca="1">IF(N157="","",COUNTIF(ListCariPembeli,"&lt;="&amp;$N157))</f>
        <v/>
      </c>
      <c r="P157" t="str">
        <f ca="1">IF(O157="","",INDEX(ListCariPembeli,MATCH(ROWS($O$2:$O157),$O$2:$O$201,0)))</f>
        <v/>
      </c>
      <c r="T157" s="77" t="str">
        <f t="array" aca="1" ref="T157" ca="1">IFERROR(INDEX(DaftarPembeli,SMALL(IF(OrderIDList=$S$2,ROW(DaftarPembeli)-ROW(PartsData!E$2)+1),ROWS(PartsData!E$2:'PartsData'!E157))),"")</f>
        <v/>
      </c>
      <c r="U157" s="77" t="str">
        <f ca="1">IF(T157="","",COUNTIF(ListNamaPembeli,"&lt;="&amp;$T157))</f>
        <v/>
      </c>
      <c r="V157" s="77" t="str">
        <f ca="1">IF(U157="","",INDEX(ListNamaPembeli,MATCH(ROWS($U$2:$U157),$U$2:$U$201,0)))</f>
        <v/>
      </c>
      <c r="Y157" s="77" t="str">
        <f t="array" aca="1" ref="Y157" ca="1">IFERROR(INDEX(RekapPembeli,SMALL(IF(RekapKontak=$X$2,ROW(RekapPembeli)-ROW(DataPemesanan!F$2)+1),ROWS(DataPemesanan!F$2:'DataPemesanan'!F157))),"")</f>
        <v/>
      </c>
      <c r="Z157" s="77" t="str">
        <f ca="1">IF(Y157="","",COUNTIF(DataRekapPembeli,"&lt;="&amp;$Y157))</f>
        <v/>
      </c>
      <c r="AA157" s="77" t="str">
        <f ca="1">IF(Z157="","",INDEX(DataRekapPembeli,MATCH(ROWS($Z$2:$Z157),$Z$2:$Z$201,0)))</f>
        <v/>
      </c>
    </row>
    <row r="158" spans="10:27">
      <c r="J158" t="str">
        <f t="array" aca="1" ref="J158" ca="1">IFERROR(INDEX(DaftarPembeli,SMALL(IF(OrderIDList=$I$2,ROW(DaftarPembeli)-ROW(PartsData!E$2)+1),ROWS(PartsData!E$2:'PartsData'!E158))),"")</f>
        <v/>
      </c>
      <c r="K158" t="str">
        <f ca="1">IF(J158="","",COUNTIF(ListPembeli,"&lt;="&amp;$J158))</f>
        <v/>
      </c>
      <c r="L158" t="str">
        <f ca="1">IF(K158="","",INDEX(ListPembeli,MATCH(ROWS($K$2:$K158),$K$2:$K$101,0)))</f>
        <v/>
      </c>
      <c r="N158" s="77" t="str">
        <f t="array" aca="1" ref="N158" ca="1">IFERROR(INDEX(DaftarPembeli,SMALL(IF(OrderIDList=$M$2,ROW(DaftarPembeli)-ROW(PartsData!E$2)+1),ROWS(PartsData!E$2:'PartsData'!E158))),"")</f>
        <v/>
      </c>
      <c r="O158" t="str">
        <f ca="1">IF(N158="","",COUNTIF(ListCariPembeli,"&lt;="&amp;$N158))</f>
        <v/>
      </c>
      <c r="P158" t="str">
        <f ca="1">IF(O158="","",INDEX(ListCariPembeli,MATCH(ROWS($O$2:$O158),$O$2:$O$201,0)))</f>
        <v/>
      </c>
      <c r="T158" s="77" t="str">
        <f t="array" aca="1" ref="T158" ca="1">IFERROR(INDEX(DaftarPembeli,SMALL(IF(OrderIDList=$S$2,ROW(DaftarPembeli)-ROW(PartsData!E$2)+1),ROWS(PartsData!E$2:'PartsData'!E158))),"")</f>
        <v/>
      </c>
      <c r="U158" s="77" t="str">
        <f ca="1">IF(T158="","",COUNTIF(ListNamaPembeli,"&lt;="&amp;$T158))</f>
        <v/>
      </c>
      <c r="V158" s="77" t="str">
        <f ca="1">IF(U158="","",INDEX(ListNamaPembeli,MATCH(ROWS($U$2:$U158),$U$2:$U$201,0)))</f>
        <v/>
      </c>
      <c r="Y158" s="77" t="str">
        <f t="array" aca="1" ref="Y158" ca="1">IFERROR(INDEX(RekapPembeli,SMALL(IF(RekapKontak=$X$2,ROW(RekapPembeli)-ROW(DataPemesanan!F$2)+1),ROWS(DataPemesanan!F$2:'DataPemesanan'!F158))),"")</f>
        <v/>
      </c>
      <c r="Z158" s="77" t="str">
        <f ca="1">IF(Y158="","",COUNTIF(DataRekapPembeli,"&lt;="&amp;$Y158))</f>
        <v/>
      </c>
      <c r="AA158" s="77" t="str">
        <f ca="1">IF(Z158="","",INDEX(DataRekapPembeli,MATCH(ROWS($Z$2:$Z158),$Z$2:$Z$201,0)))</f>
        <v/>
      </c>
    </row>
    <row r="159" spans="10:27">
      <c r="J159" t="str">
        <f t="array" aca="1" ref="J159" ca="1">IFERROR(INDEX(DaftarPembeli,SMALL(IF(OrderIDList=$I$2,ROW(DaftarPembeli)-ROW(PartsData!E$2)+1),ROWS(PartsData!E$2:'PartsData'!E159))),"")</f>
        <v/>
      </c>
      <c r="K159" t="str">
        <f ca="1">IF(J159="","",COUNTIF(ListPembeli,"&lt;="&amp;$J159))</f>
        <v/>
      </c>
      <c r="L159" t="str">
        <f ca="1">IF(K159="","",INDEX(ListPembeli,MATCH(ROWS($K$2:$K159),$K$2:$K$101,0)))</f>
        <v/>
      </c>
      <c r="N159" s="77" t="str">
        <f t="array" aca="1" ref="N159" ca="1">IFERROR(INDEX(DaftarPembeli,SMALL(IF(OrderIDList=$M$2,ROW(DaftarPembeli)-ROW(PartsData!E$2)+1),ROWS(PartsData!E$2:'PartsData'!E159))),"")</f>
        <v/>
      </c>
      <c r="O159" t="str">
        <f ca="1">IF(N159="","",COUNTIF(ListCariPembeli,"&lt;="&amp;$N159))</f>
        <v/>
      </c>
      <c r="P159" t="str">
        <f ca="1">IF(O159="","",INDEX(ListCariPembeli,MATCH(ROWS($O$2:$O159),$O$2:$O$201,0)))</f>
        <v/>
      </c>
      <c r="T159" s="77" t="str">
        <f t="array" aca="1" ref="T159" ca="1">IFERROR(INDEX(DaftarPembeli,SMALL(IF(OrderIDList=$S$2,ROW(DaftarPembeli)-ROW(PartsData!E$2)+1),ROWS(PartsData!E$2:'PartsData'!E159))),"")</f>
        <v/>
      </c>
      <c r="U159" s="77" t="str">
        <f ca="1">IF(T159="","",COUNTIF(ListNamaPembeli,"&lt;="&amp;$T159))</f>
        <v/>
      </c>
      <c r="V159" s="77" t="str">
        <f ca="1">IF(U159="","",INDEX(ListNamaPembeli,MATCH(ROWS($U$2:$U159),$U$2:$U$201,0)))</f>
        <v/>
      </c>
      <c r="Y159" s="77" t="str">
        <f t="array" aca="1" ref="Y159" ca="1">IFERROR(INDEX(RekapPembeli,SMALL(IF(RekapKontak=$X$2,ROW(RekapPembeli)-ROW(DataPemesanan!F$2)+1),ROWS(DataPemesanan!F$2:'DataPemesanan'!F159))),"")</f>
        <v/>
      </c>
      <c r="Z159" s="77" t="str">
        <f ca="1">IF(Y159="","",COUNTIF(DataRekapPembeli,"&lt;="&amp;$Y159))</f>
        <v/>
      </c>
      <c r="AA159" s="77" t="str">
        <f ca="1">IF(Z159="","",INDEX(DataRekapPembeli,MATCH(ROWS($Z$2:$Z159),$Z$2:$Z$201,0)))</f>
        <v/>
      </c>
    </row>
    <row r="160" spans="10:27">
      <c r="J160" t="str">
        <f t="array" aca="1" ref="J160" ca="1">IFERROR(INDEX(DaftarPembeli,SMALL(IF(OrderIDList=$I$2,ROW(DaftarPembeli)-ROW(PartsData!E$2)+1),ROWS(PartsData!E$2:'PartsData'!E160))),"")</f>
        <v/>
      </c>
      <c r="K160" t="str">
        <f ca="1">IF(J160="","",COUNTIF(ListPembeli,"&lt;="&amp;$J160))</f>
        <v/>
      </c>
      <c r="L160" t="str">
        <f ca="1">IF(K160="","",INDEX(ListPembeli,MATCH(ROWS($K$2:$K160),$K$2:$K$101,0)))</f>
        <v/>
      </c>
      <c r="N160" s="77" t="str">
        <f t="array" aca="1" ref="N160" ca="1">IFERROR(INDEX(DaftarPembeli,SMALL(IF(OrderIDList=$M$2,ROW(DaftarPembeli)-ROW(PartsData!E$2)+1),ROWS(PartsData!E$2:'PartsData'!E160))),"")</f>
        <v/>
      </c>
      <c r="O160" t="str">
        <f ca="1">IF(N160="","",COUNTIF(ListCariPembeli,"&lt;="&amp;$N160))</f>
        <v/>
      </c>
      <c r="P160" t="str">
        <f ca="1">IF(O160="","",INDEX(ListCariPembeli,MATCH(ROWS($O$2:$O160),$O$2:$O$201,0)))</f>
        <v/>
      </c>
      <c r="T160" s="77" t="str">
        <f t="array" aca="1" ref="T160" ca="1">IFERROR(INDEX(DaftarPembeli,SMALL(IF(OrderIDList=$S$2,ROW(DaftarPembeli)-ROW(PartsData!E$2)+1),ROWS(PartsData!E$2:'PartsData'!E160))),"")</f>
        <v/>
      </c>
      <c r="U160" s="77" t="str">
        <f ca="1">IF(T160="","",COUNTIF(ListNamaPembeli,"&lt;="&amp;$T160))</f>
        <v/>
      </c>
      <c r="V160" s="77" t="str">
        <f ca="1">IF(U160="","",INDEX(ListNamaPembeli,MATCH(ROWS($U$2:$U160),$U$2:$U$201,0)))</f>
        <v/>
      </c>
      <c r="Y160" s="77" t="str">
        <f t="array" aca="1" ref="Y160" ca="1">IFERROR(INDEX(RekapPembeli,SMALL(IF(RekapKontak=$X$2,ROW(RekapPembeli)-ROW(DataPemesanan!F$2)+1),ROWS(DataPemesanan!F$2:'DataPemesanan'!F160))),"")</f>
        <v/>
      </c>
      <c r="Z160" s="77" t="str">
        <f ca="1">IF(Y160="","",COUNTIF(DataRekapPembeli,"&lt;="&amp;$Y160))</f>
        <v/>
      </c>
      <c r="AA160" s="77" t="str">
        <f ca="1">IF(Z160="","",INDEX(DataRekapPembeli,MATCH(ROWS($Z$2:$Z160),$Z$2:$Z$201,0)))</f>
        <v/>
      </c>
    </row>
    <row r="161" spans="10:27">
      <c r="J161" t="str">
        <f t="array" aca="1" ref="J161" ca="1">IFERROR(INDEX(DaftarPembeli,SMALL(IF(OrderIDList=$I$2,ROW(DaftarPembeli)-ROW(PartsData!E$2)+1),ROWS(PartsData!E$2:'PartsData'!E161))),"")</f>
        <v/>
      </c>
      <c r="K161" t="str">
        <f ca="1">IF(J161="","",COUNTIF(ListPembeli,"&lt;="&amp;$J161))</f>
        <v/>
      </c>
      <c r="L161" t="str">
        <f ca="1">IF(K161="","",INDEX(ListPembeli,MATCH(ROWS($K$2:$K161),$K$2:$K$101,0)))</f>
        <v/>
      </c>
      <c r="N161" s="77" t="str">
        <f t="array" aca="1" ref="N161" ca="1">IFERROR(INDEX(DaftarPembeli,SMALL(IF(OrderIDList=$M$2,ROW(DaftarPembeli)-ROW(PartsData!E$2)+1),ROWS(PartsData!E$2:'PartsData'!E161))),"")</f>
        <v/>
      </c>
      <c r="O161" t="str">
        <f ca="1">IF(N161="","",COUNTIF(ListCariPembeli,"&lt;="&amp;$N161))</f>
        <v/>
      </c>
      <c r="P161" t="str">
        <f ca="1">IF(O161="","",INDEX(ListCariPembeli,MATCH(ROWS($O$2:$O161),$O$2:$O$201,0)))</f>
        <v/>
      </c>
      <c r="T161" s="77" t="str">
        <f t="array" aca="1" ref="T161" ca="1">IFERROR(INDEX(DaftarPembeli,SMALL(IF(OrderIDList=$S$2,ROW(DaftarPembeli)-ROW(PartsData!E$2)+1),ROWS(PartsData!E$2:'PartsData'!E161))),"")</f>
        <v/>
      </c>
      <c r="U161" s="77" t="str">
        <f ca="1">IF(T161="","",COUNTIF(ListNamaPembeli,"&lt;="&amp;$T161))</f>
        <v/>
      </c>
      <c r="V161" s="77" t="str">
        <f ca="1">IF(U161="","",INDEX(ListNamaPembeli,MATCH(ROWS($U$2:$U161),$U$2:$U$201,0)))</f>
        <v/>
      </c>
      <c r="Y161" s="77" t="str">
        <f t="array" aca="1" ref="Y161" ca="1">IFERROR(INDEX(RekapPembeli,SMALL(IF(RekapKontak=$X$2,ROW(RekapPembeli)-ROW(DataPemesanan!F$2)+1),ROWS(DataPemesanan!F$2:'DataPemesanan'!F161))),"")</f>
        <v/>
      </c>
      <c r="Z161" s="77" t="str">
        <f ca="1">IF(Y161="","",COUNTIF(DataRekapPembeli,"&lt;="&amp;$Y161))</f>
        <v/>
      </c>
      <c r="AA161" s="77" t="str">
        <f ca="1">IF(Z161="","",INDEX(DataRekapPembeli,MATCH(ROWS($Z$2:$Z161),$Z$2:$Z$201,0)))</f>
        <v/>
      </c>
    </row>
    <row r="162" spans="10:27">
      <c r="J162" t="str">
        <f t="array" aca="1" ref="J162" ca="1">IFERROR(INDEX(DaftarPembeli,SMALL(IF(OrderIDList=$I$2,ROW(DaftarPembeli)-ROW(PartsData!E$2)+1),ROWS(PartsData!E$2:'PartsData'!E162))),"")</f>
        <v/>
      </c>
      <c r="K162" t="str">
        <f ca="1">IF(J162="","",COUNTIF(ListPembeli,"&lt;="&amp;$J162))</f>
        <v/>
      </c>
      <c r="L162" t="str">
        <f ca="1">IF(K162="","",INDEX(ListPembeli,MATCH(ROWS($K$2:$K162),$K$2:$K$101,0)))</f>
        <v/>
      </c>
      <c r="N162" s="77" t="str">
        <f t="array" aca="1" ref="N162" ca="1">IFERROR(INDEX(DaftarPembeli,SMALL(IF(OrderIDList=$M$2,ROW(DaftarPembeli)-ROW(PartsData!E$2)+1),ROWS(PartsData!E$2:'PartsData'!E162))),"")</f>
        <v/>
      </c>
      <c r="O162" t="str">
        <f ca="1">IF(N162="","",COUNTIF(ListCariPembeli,"&lt;="&amp;$N162))</f>
        <v/>
      </c>
      <c r="P162" t="str">
        <f ca="1">IF(O162="","",INDEX(ListCariPembeli,MATCH(ROWS($O$2:$O162),$O$2:$O$201,0)))</f>
        <v/>
      </c>
      <c r="T162" s="77" t="str">
        <f t="array" aca="1" ref="T162" ca="1">IFERROR(INDEX(DaftarPembeli,SMALL(IF(OrderIDList=$S$2,ROW(DaftarPembeli)-ROW(PartsData!E$2)+1),ROWS(PartsData!E$2:'PartsData'!E162))),"")</f>
        <v/>
      </c>
      <c r="U162" s="77" t="str">
        <f ca="1">IF(T162="","",COUNTIF(ListNamaPembeli,"&lt;="&amp;$T162))</f>
        <v/>
      </c>
      <c r="V162" s="77" t="str">
        <f ca="1">IF(U162="","",INDEX(ListNamaPembeli,MATCH(ROWS($U$2:$U162),$U$2:$U$201,0)))</f>
        <v/>
      </c>
      <c r="Y162" s="77" t="str">
        <f t="array" aca="1" ref="Y162" ca="1">IFERROR(INDEX(RekapPembeli,SMALL(IF(RekapKontak=$X$2,ROW(RekapPembeli)-ROW(DataPemesanan!F$2)+1),ROWS(DataPemesanan!F$2:'DataPemesanan'!F162))),"")</f>
        <v/>
      </c>
      <c r="Z162" s="77" t="str">
        <f ca="1">IF(Y162="","",COUNTIF(DataRekapPembeli,"&lt;="&amp;$Y162))</f>
        <v/>
      </c>
      <c r="AA162" s="77" t="str">
        <f ca="1">IF(Z162="","",INDEX(DataRekapPembeli,MATCH(ROWS($Z$2:$Z162),$Z$2:$Z$201,0)))</f>
        <v/>
      </c>
    </row>
    <row r="163" spans="10:27">
      <c r="J163" t="str">
        <f t="array" aca="1" ref="J163" ca="1">IFERROR(INDEX(DaftarPembeli,SMALL(IF(OrderIDList=$I$2,ROW(DaftarPembeli)-ROW(PartsData!E$2)+1),ROWS(PartsData!E$2:'PartsData'!E163))),"")</f>
        <v/>
      </c>
      <c r="K163" t="str">
        <f ca="1">IF(J163="","",COUNTIF(ListPembeli,"&lt;="&amp;$J163))</f>
        <v/>
      </c>
      <c r="L163" t="str">
        <f ca="1">IF(K163="","",INDEX(ListPembeli,MATCH(ROWS($K$2:$K163),$K$2:$K$101,0)))</f>
        <v/>
      </c>
      <c r="N163" s="77" t="str">
        <f t="array" aca="1" ref="N163" ca="1">IFERROR(INDEX(DaftarPembeli,SMALL(IF(OrderIDList=$M$2,ROW(DaftarPembeli)-ROW(PartsData!E$2)+1),ROWS(PartsData!E$2:'PartsData'!E163))),"")</f>
        <v/>
      </c>
      <c r="O163" t="str">
        <f ca="1">IF(N163="","",COUNTIF(ListCariPembeli,"&lt;="&amp;$N163))</f>
        <v/>
      </c>
      <c r="P163" t="str">
        <f ca="1">IF(O163="","",INDEX(ListCariPembeli,MATCH(ROWS($O$2:$O163),$O$2:$O$201,0)))</f>
        <v/>
      </c>
      <c r="T163" s="77" t="str">
        <f t="array" aca="1" ref="T163" ca="1">IFERROR(INDEX(DaftarPembeli,SMALL(IF(OrderIDList=$S$2,ROW(DaftarPembeli)-ROW(PartsData!E$2)+1),ROWS(PartsData!E$2:'PartsData'!E163))),"")</f>
        <v/>
      </c>
      <c r="U163" s="77" t="str">
        <f ca="1">IF(T163="","",COUNTIF(ListNamaPembeli,"&lt;="&amp;$T163))</f>
        <v/>
      </c>
      <c r="V163" s="77" t="str">
        <f ca="1">IF(U163="","",INDEX(ListNamaPembeli,MATCH(ROWS($U$2:$U163),$U$2:$U$201,0)))</f>
        <v/>
      </c>
      <c r="Y163" s="77" t="str">
        <f t="array" aca="1" ref="Y163" ca="1">IFERROR(INDEX(RekapPembeli,SMALL(IF(RekapKontak=$X$2,ROW(RekapPembeli)-ROW(DataPemesanan!F$2)+1),ROWS(DataPemesanan!F$2:'DataPemesanan'!F163))),"")</f>
        <v/>
      </c>
      <c r="Z163" s="77" t="str">
        <f ca="1">IF(Y163="","",COUNTIF(DataRekapPembeli,"&lt;="&amp;$Y163))</f>
        <v/>
      </c>
      <c r="AA163" s="77" t="str">
        <f ca="1">IF(Z163="","",INDEX(DataRekapPembeli,MATCH(ROWS($Z$2:$Z163),$Z$2:$Z$201,0)))</f>
        <v/>
      </c>
    </row>
    <row r="164" spans="10:27">
      <c r="J164" t="str">
        <f t="array" aca="1" ref="J164" ca="1">IFERROR(INDEX(DaftarPembeli,SMALL(IF(OrderIDList=$I$2,ROW(DaftarPembeli)-ROW(PartsData!E$2)+1),ROWS(PartsData!E$2:'PartsData'!E164))),"")</f>
        <v/>
      </c>
      <c r="K164" t="str">
        <f ca="1">IF(J164="","",COUNTIF(ListPembeli,"&lt;="&amp;$J164))</f>
        <v/>
      </c>
      <c r="L164" t="str">
        <f ca="1">IF(K164="","",INDEX(ListPembeli,MATCH(ROWS($K$2:$K164),$K$2:$K$101,0)))</f>
        <v/>
      </c>
      <c r="N164" s="77" t="str">
        <f t="array" aca="1" ref="N164" ca="1">IFERROR(INDEX(DaftarPembeli,SMALL(IF(OrderIDList=$M$2,ROW(DaftarPembeli)-ROW(PartsData!E$2)+1),ROWS(PartsData!E$2:'PartsData'!E164))),"")</f>
        <v/>
      </c>
      <c r="O164" t="str">
        <f ca="1">IF(N164="","",COUNTIF(ListCariPembeli,"&lt;="&amp;$N164))</f>
        <v/>
      </c>
      <c r="P164" t="str">
        <f ca="1">IF(O164="","",INDEX(ListCariPembeli,MATCH(ROWS($O$2:$O164),$O$2:$O$201,0)))</f>
        <v/>
      </c>
      <c r="T164" s="77" t="str">
        <f t="array" aca="1" ref="T164" ca="1">IFERROR(INDEX(DaftarPembeli,SMALL(IF(OrderIDList=$S$2,ROW(DaftarPembeli)-ROW(PartsData!E$2)+1),ROWS(PartsData!E$2:'PartsData'!E164))),"")</f>
        <v/>
      </c>
      <c r="U164" s="77" t="str">
        <f ca="1">IF(T164="","",COUNTIF(ListNamaPembeli,"&lt;="&amp;$T164))</f>
        <v/>
      </c>
      <c r="V164" s="77" t="str">
        <f ca="1">IF(U164="","",INDEX(ListNamaPembeli,MATCH(ROWS($U$2:$U164),$U$2:$U$201,0)))</f>
        <v/>
      </c>
      <c r="Y164" s="77" t="str">
        <f t="array" aca="1" ref="Y164" ca="1">IFERROR(INDEX(RekapPembeli,SMALL(IF(RekapKontak=$X$2,ROW(RekapPembeli)-ROW(DataPemesanan!F$2)+1),ROWS(DataPemesanan!F$2:'DataPemesanan'!F164))),"")</f>
        <v/>
      </c>
      <c r="Z164" s="77" t="str">
        <f ca="1">IF(Y164="","",COUNTIF(DataRekapPembeli,"&lt;="&amp;$Y164))</f>
        <v/>
      </c>
      <c r="AA164" s="77" t="str">
        <f ca="1">IF(Z164="","",INDEX(DataRekapPembeli,MATCH(ROWS($Z$2:$Z164),$Z$2:$Z$201,0)))</f>
        <v/>
      </c>
    </row>
    <row r="165" spans="10:27">
      <c r="J165" t="str">
        <f t="array" aca="1" ref="J165" ca="1">IFERROR(INDEX(DaftarPembeli,SMALL(IF(OrderIDList=$I$2,ROW(DaftarPembeli)-ROW(PartsData!E$2)+1),ROWS(PartsData!E$2:'PartsData'!E165))),"")</f>
        <v/>
      </c>
      <c r="K165" t="str">
        <f ca="1">IF(J165="","",COUNTIF(ListPembeli,"&lt;="&amp;$J165))</f>
        <v/>
      </c>
      <c r="L165" t="str">
        <f ca="1">IF(K165="","",INDEX(ListPembeli,MATCH(ROWS($K$2:$K165),$K$2:$K$101,0)))</f>
        <v/>
      </c>
      <c r="N165" s="77" t="str">
        <f t="array" aca="1" ref="N165" ca="1">IFERROR(INDEX(DaftarPembeli,SMALL(IF(OrderIDList=$M$2,ROW(DaftarPembeli)-ROW(PartsData!E$2)+1),ROWS(PartsData!E$2:'PartsData'!E165))),"")</f>
        <v/>
      </c>
      <c r="O165" t="str">
        <f ca="1">IF(N165="","",COUNTIF(ListCariPembeli,"&lt;="&amp;$N165))</f>
        <v/>
      </c>
      <c r="P165" t="str">
        <f ca="1">IF(O165="","",INDEX(ListCariPembeli,MATCH(ROWS($O$2:$O165),$O$2:$O$201,0)))</f>
        <v/>
      </c>
      <c r="T165" s="77" t="str">
        <f t="array" aca="1" ref="T165" ca="1">IFERROR(INDEX(DaftarPembeli,SMALL(IF(OrderIDList=$S$2,ROW(DaftarPembeli)-ROW(PartsData!E$2)+1),ROWS(PartsData!E$2:'PartsData'!E165))),"")</f>
        <v/>
      </c>
      <c r="U165" s="77" t="str">
        <f ca="1">IF(T165="","",COUNTIF(ListNamaPembeli,"&lt;="&amp;$T165))</f>
        <v/>
      </c>
      <c r="V165" s="77" t="str">
        <f ca="1">IF(U165="","",INDEX(ListNamaPembeli,MATCH(ROWS($U$2:$U165),$U$2:$U$201,0)))</f>
        <v/>
      </c>
      <c r="Y165" s="77" t="str">
        <f t="array" aca="1" ref="Y165" ca="1">IFERROR(INDEX(RekapPembeli,SMALL(IF(RekapKontak=$X$2,ROW(RekapPembeli)-ROW(DataPemesanan!F$2)+1),ROWS(DataPemesanan!F$2:'DataPemesanan'!F165))),"")</f>
        <v/>
      </c>
      <c r="Z165" s="77" t="str">
        <f ca="1">IF(Y165="","",COUNTIF(DataRekapPembeli,"&lt;="&amp;$Y165))</f>
        <v/>
      </c>
      <c r="AA165" s="77" t="str">
        <f ca="1">IF(Z165="","",INDEX(DataRekapPembeli,MATCH(ROWS($Z$2:$Z165),$Z$2:$Z$201,0)))</f>
        <v/>
      </c>
    </row>
    <row r="166" spans="10:27">
      <c r="J166" t="str">
        <f t="array" aca="1" ref="J166" ca="1">IFERROR(INDEX(DaftarPembeli,SMALL(IF(OrderIDList=$I$2,ROW(DaftarPembeli)-ROW(PartsData!E$2)+1),ROWS(PartsData!E$2:'PartsData'!E166))),"")</f>
        <v/>
      </c>
      <c r="K166" t="str">
        <f ca="1">IF(J166="","",COUNTIF(ListPembeli,"&lt;="&amp;$J166))</f>
        <v/>
      </c>
      <c r="L166" t="str">
        <f ca="1">IF(K166="","",INDEX(ListPembeli,MATCH(ROWS($K$2:$K166),$K$2:$K$101,0)))</f>
        <v/>
      </c>
      <c r="N166" s="77" t="str">
        <f t="array" aca="1" ref="N166" ca="1">IFERROR(INDEX(DaftarPembeli,SMALL(IF(OrderIDList=$M$2,ROW(DaftarPembeli)-ROW(PartsData!E$2)+1),ROWS(PartsData!E$2:'PartsData'!E166))),"")</f>
        <v/>
      </c>
      <c r="O166" t="str">
        <f ca="1">IF(N166="","",COUNTIF(ListCariPembeli,"&lt;="&amp;$N166))</f>
        <v/>
      </c>
      <c r="P166" t="str">
        <f ca="1">IF(O166="","",INDEX(ListCariPembeli,MATCH(ROWS($O$2:$O166),$O$2:$O$201,0)))</f>
        <v/>
      </c>
      <c r="T166" s="77" t="str">
        <f t="array" aca="1" ref="T166" ca="1">IFERROR(INDEX(DaftarPembeli,SMALL(IF(OrderIDList=$S$2,ROW(DaftarPembeli)-ROW(PartsData!E$2)+1),ROWS(PartsData!E$2:'PartsData'!E166))),"")</f>
        <v/>
      </c>
      <c r="U166" s="77" t="str">
        <f ca="1">IF(T166="","",COUNTIF(ListNamaPembeli,"&lt;="&amp;$T166))</f>
        <v/>
      </c>
      <c r="V166" s="77" t="str">
        <f ca="1">IF(U166="","",INDEX(ListNamaPembeli,MATCH(ROWS($U$2:$U166),$U$2:$U$201,0)))</f>
        <v/>
      </c>
      <c r="Y166" s="77" t="str">
        <f t="array" aca="1" ref="Y166" ca="1">IFERROR(INDEX(RekapPembeli,SMALL(IF(RekapKontak=$X$2,ROW(RekapPembeli)-ROW(DataPemesanan!F$2)+1),ROWS(DataPemesanan!F$2:'DataPemesanan'!F166))),"")</f>
        <v/>
      </c>
      <c r="Z166" s="77" t="str">
        <f ca="1">IF(Y166="","",COUNTIF(DataRekapPembeli,"&lt;="&amp;$Y166))</f>
        <v/>
      </c>
      <c r="AA166" s="77" t="str">
        <f ca="1">IF(Z166="","",INDEX(DataRekapPembeli,MATCH(ROWS($Z$2:$Z166),$Z$2:$Z$201,0)))</f>
        <v/>
      </c>
    </row>
    <row r="167" spans="10:27">
      <c r="J167" t="str">
        <f t="array" aca="1" ref="J167" ca="1">IFERROR(INDEX(DaftarPembeli,SMALL(IF(OrderIDList=$I$2,ROW(DaftarPembeli)-ROW(PartsData!E$2)+1),ROWS(PartsData!E$2:'PartsData'!E167))),"")</f>
        <v/>
      </c>
      <c r="K167" t="str">
        <f ca="1">IF(J167="","",COUNTIF(ListPembeli,"&lt;="&amp;$J167))</f>
        <v/>
      </c>
      <c r="L167" t="str">
        <f ca="1">IF(K167="","",INDEX(ListPembeli,MATCH(ROWS($K$2:$K167),$K$2:$K$101,0)))</f>
        <v/>
      </c>
      <c r="N167" s="77" t="str">
        <f t="array" aca="1" ref="N167" ca="1">IFERROR(INDEX(DaftarPembeli,SMALL(IF(OrderIDList=$M$2,ROW(DaftarPembeli)-ROW(PartsData!E$2)+1),ROWS(PartsData!E$2:'PartsData'!E167))),"")</f>
        <v/>
      </c>
      <c r="O167" t="str">
        <f ca="1">IF(N167="","",COUNTIF(ListCariPembeli,"&lt;="&amp;$N167))</f>
        <v/>
      </c>
      <c r="P167" t="str">
        <f ca="1">IF(O167="","",INDEX(ListCariPembeli,MATCH(ROWS($O$2:$O167),$O$2:$O$201,0)))</f>
        <v/>
      </c>
      <c r="T167" s="77" t="str">
        <f t="array" aca="1" ref="T167" ca="1">IFERROR(INDEX(DaftarPembeli,SMALL(IF(OrderIDList=$S$2,ROW(DaftarPembeli)-ROW(PartsData!E$2)+1),ROWS(PartsData!E$2:'PartsData'!E167))),"")</f>
        <v/>
      </c>
      <c r="U167" s="77" t="str">
        <f ca="1">IF(T167="","",COUNTIF(ListNamaPembeli,"&lt;="&amp;$T167))</f>
        <v/>
      </c>
      <c r="V167" s="77" t="str">
        <f ca="1">IF(U167="","",INDEX(ListNamaPembeli,MATCH(ROWS($U$2:$U167),$U$2:$U$201,0)))</f>
        <v/>
      </c>
      <c r="Y167" s="77" t="str">
        <f t="array" aca="1" ref="Y167" ca="1">IFERROR(INDEX(RekapPembeli,SMALL(IF(RekapKontak=$X$2,ROW(RekapPembeli)-ROW(DataPemesanan!F$2)+1),ROWS(DataPemesanan!F$2:'DataPemesanan'!F167))),"")</f>
        <v/>
      </c>
      <c r="Z167" s="77" t="str">
        <f ca="1">IF(Y167="","",COUNTIF(DataRekapPembeli,"&lt;="&amp;$Y167))</f>
        <v/>
      </c>
      <c r="AA167" s="77" t="str">
        <f ca="1">IF(Z167="","",INDEX(DataRekapPembeli,MATCH(ROWS($Z$2:$Z167),$Z$2:$Z$201,0)))</f>
        <v/>
      </c>
    </row>
    <row r="168" spans="10:27">
      <c r="J168" t="str">
        <f t="array" aca="1" ref="J168" ca="1">IFERROR(INDEX(DaftarPembeli,SMALL(IF(OrderIDList=$I$2,ROW(DaftarPembeli)-ROW(PartsData!E$2)+1),ROWS(PartsData!E$2:'PartsData'!E168))),"")</f>
        <v/>
      </c>
      <c r="K168" t="str">
        <f ca="1">IF(J168="","",COUNTIF(ListPembeli,"&lt;="&amp;$J168))</f>
        <v/>
      </c>
      <c r="L168" t="str">
        <f ca="1">IF(K168="","",INDEX(ListPembeli,MATCH(ROWS($K$2:$K168),$K$2:$K$101,0)))</f>
        <v/>
      </c>
      <c r="N168" s="77" t="str">
        <f t="array" aca="1" ref="N168" ca="1">IFERROR(INDEX(DaftarPembeli,SMALL(IF(OrderIDList=$M$2,ROW(DaftarPembeli)-ROW(PartsData!E$2)+1),ROWS(PartsData!E$2:'PartsData'!E168))),"")</f>
        <v/>
      </c>
      <c r="O168" t="str">
        <f ca="1">IF(N168="","",COUNTIF(ListCariPembeli,"&lt;="&amp;$N168))</f>
        <v/>
      </c>
      <c r="P168" t="str">
        <f ca="1">IF(O168="","",INDEX(ListCariPembeli,MATCH(ROWS($O$2:$O168),$O$2:$O$201,0)))</f>
        <v/>
      </c>
      <c r="T168" s="77" t="str">
        <f t="array" aca="1" ref="T168" ca="1">IFERROR(INDEX(DaftarPembeli,SMALL(IF(OrderIDList=$S$2,ROW(DaftarPembeli)-ROW(PartsData!E$2)+1),ROWS(PartsData!E$2:'PartsData'!E168))),"")</f>
        <v/>
      </c>
      <c r="U168" s="77" t="str">
        <f ca="1">IF(T168="","",COUNTIF(ListNamaPembeli,"&lt;="&amp;$T168))</f>
        <v/>
      </c>
      <c r="V168" s="77" t="str">
        <f ca="1">IF(U168="","",INDEX(ListNamaPembeli,MATCH(ROWS($U$2:$U168),$U$2:$U$201,0)))</f>
        <v/>
      </c>
      <c r="Y168" s="77" t="str">
        <f t="array" aca="1" ref="Y168" ca="1">IFERROR(INDEX(RekapPembeli,SMALL(IF(RekapKontak=$X$2,ROW(RekapPembeli)-ROW(DataPemesanan!F$2)+1),ROWS(DataPemesanan!F$2:'DataPemesanan'!F168))),"")</f>
        <v/>
      </c>
      <c r="Z168" s="77" t="str">
        <f ca="1">IF(Y168="","",COUNTIF(DataRekapPembeli,"&lt;="&amp;$Y168))</f>
        <v/>
      </c>
      <c r="AA168" s="77" t="str">
        <f ca="1">IF(Z168="","",INDEX(DataRekapPembeli,MATCH(ROWS($Z$2:$Z168),$Z$2:$Z$201,0)))</f>
        <v/>
      </c>
    </row>
    <row r="169" spans="10:27">
      <c r="J169" t="str">
        <f t="array" aca="1" ref="J169" ca="1">IFERROR(INDEX(DaftarPembeli,SMALL(IF(OrderIDList=$I$2,ROW(DaftarPembeli)-ROW(PartsData!E$2)+1),ROWS(PartsData!E$2:'PartsData'!E169))),"")</f>
        <v/>
      </c>
      <c r="K169" t="str">
        <f ca="1">IF(J169="","",COUNTIF(ListPembeli,"&lt;="&amp;$J169))</f>
        <v/>
      </c>
      <c r="L169" t="str">
        <f ca="1">IF(K169="","",INDEX(ListPembeli,MATCH(ROWS($K$2:$K169),$K$2:$K$101,0)))</f>
        <v/>
      </c>
      <c r="N169" s="77" t="str">
        <f t="array" aca="1" ref="N169" ca="1">IFERROR(INDEX(DaftarPembeli,SMALL(IF(OrderIDList=$M$2,ROW(DaftarPembeli)-ROW(PartsData!E$2)+1),ROWS(PartsData!E$2:'PartsData'!E169))),"")</f>
        <v/>
      </c>
      <c r="O169" t="str">
        <f ca="1">IF(N169="","",COUNTIF(ListCariPembeli,"&lt;="&amp;$N169))</f>
        <v/>
      </c>
      <c r="P169" t="str">
        <f ca="1">IF(O169="","",INDEX(ListCariPembeli,MATCH(ROWS($O$2:$O169),$O$2:$O$201,0)))</f>
        <v/>
      </c>
      <c r="T169" s="77" t="str">
        <f t="array" aca="1" ref="T169" ca="1">IFERROR(INDEX(DaftarPembeli,SMALL(IF(OrderIDList=$S$2,ROW(DaftarPembeli)-ROW(PartsData!E$2)+1),ROWS(PartsData!E$2:'PartsData'!E169))),"")</f>
        <v/>
      </c>
      <c r="U169" s="77" t="str">
        <f ca="1">IF(T169="","",COUNTIF(ListNamaPembeli,"&lt;="&amp;$T169))</f>
        <v/>
      </c>
      <c r="V169" s="77" t="str">
        <f ca="1">IF(U169="","",INDEX(ListNamaPembeli,MATCH(ROWS($U$2:$U169),$U$2:$U$201,0)))</f>
        <v/>
      </c>
      <c r="Y169" s="77" t="str">
        <f t="array" aca="1" ref="Y169" ca="1">IFERROR(INDEX(RekapPembeli,SMALL(IF(RekapKontak=$X$2,ROW(RekapPembeli)-ROW(DataPemesanan!F$2)+1),ROWS(DataPemesanan!F$2:'DataPemesanan'!F169))),"")</f>
        <v/>
      </c>
      <c r="Z169" s="77" t="str">
        <f ca="1">IF(Y169="","",COUNTIF(DataRekapPembeli,"&lt;="&amp;$Y169))</f>
        <v/>
      </c>
      <c r="AA169" s="77" t="str">
        <f ca="1">IF(Z169="","",INDEX(DataRekapPembeli,MATCH(ROWS($Z$2:$Z169),$Z$2:$Z$201,0)))</f>
        <v/>
      </c>
    </row>
    <row r="170" spans="10:27">
      <c r="J170" t="str">
        <f t="array" aca="1" ref="J170" ca="1">IFERROR(INDEX(DaftarPembeli,SMALL(IF(OrderIDList=$I$2,ROW(DaftarPembeli)-ROW(PartsData!E$2)+1),ROWS(PartsData!E$2:'PartsData'!E170))),"")</f>
        <v/>
      </c>
      <c r="K170" t="str">
        <f ca="1">IF(J170="","",COUNTIF(ListPembeli,"&lt;="&amp;$J170))</f>
        <v/>
      </c>
      <c r="L170" t="str">
        <f ca="1">IF(K170="","",INDEX(ListPembeli,MATCH(ROWS($K$2:$K170),$K$2:$K$101,0)))</f>
        <v/>
      </c>
      <c r="N170" s="77" t="str">
        <f t="array" aca="1" ref="N170" ca="1">IFERROR(INDEX(DaftarPembeli,SMALL(IF(OrderIDList=$M$2,ROW(DaftarPembeli)-ROW(PartsData!E$2)+1),ROWS(PartsData!E$2:'PartsData'!E170))),"")</f>
        <v/>
      </c>
      <c r="O170" t="str">
        <f ca="1">IF(N170="","",COUNTIF(ListCariPembeli,"&lt;="&amp;$N170))</f>
        <v/>
      </c>
      <c r="P170" t="str">
        <f ca="1">IF(O170="","",INDEX(ListCariPembeli,MATCH(ROWS($O$2:$O170),$O$2:$O$201,0)))</f>
        <v/>
      </c>
      <c r="T170" s="77" t="str">
        <f t="array" aca="1" ref="T170" ca="1">IFERROR(INDEX(DaftarPembeli,SMALL(IF(OrderIDList=$S$2,ROW(DaftarPembeli)-ROW(PartsData!E$2)+1),ROWS(PartsData!E$2:'PartsData'!E170))),"")</f>
        <v/>
      </c>
      <c r="U170" s="77" t="str">
        <f ca="1">IF(T170="","",COUNTIF(ListNamaPembeli,"&lt;="&amp;$T170))</f>
        <v/>
      </c>
      <c r="V170" s="77" t="str">
        <f ca="1">IF(U170="","",INDEX(ListNamaPembeli,MATCH(ROWS($U$2:$U170),$U$2:$U$201,0)))</f>
        <v/>
      </c>
      <c r="Y170" s="77" t="str">
        <f t="array" aca="1" ref="Y170" ca="1">IFERROR(INDEX(RekapPembeli,SMALL(IF(RekapKontak=$X$2,ROW(RekapPembeli)-ROW(DataPemesanan!F$2)+1),ROWS(DataPemesanan!F$2:'DataPemesanan'!F170))),"")</f>
        <v/>
      </c>
      <c r="Z170" s="77" t="str">
        <f ca="1">IF(Y170="","",COUNTIF(DataRekapPembeli,"&lt;="&amp;$Y170))</f>
        <v/>
      </c>
      <c r="AA170" s="77" t="str">
        <f ca="1">IF(Z170="","",INDEX(DataRekapPembeli,MATCH(ROWS($Z$2:$Z170),$Z$2:$Z$201,0)))</f>
        <v/>
      </c>
    </row>
    <row r="171" spans="10:27">
      <c r="J171" t="str">
        <f t="array" aca="1" ref="J171" ca="1">IFERROR(INDEX(DaftarPembeli,SMALL(IF(OrderIDList=$I$2,ROW(DaftarPembeli)-ROW(PartsData!E$2)+1),ROWS(PartsData!E$2:'PartsData'!E171))),"")</f>
        <v/>
      </c>
      <c r="K171" t="str">
        <f ca="1">IF(J171="","",COUNTIF(ListPembeli,"&lt;="&amp;$J171))</f>
        <v/>
      </c>
      <c r="L171" t="str">
        <f ca="1">IF(K171="","",INDEX(ListPembeli,MATCH(ROWS($K$2:$K171),$K$2:$K$101,0)))</f>
        <v/>
      </c>
      <c r="N171" s="77" t="str">
        <f t="array" aca="1" ref="N171" ca="1">IFERROR(INDEX(DaftarPembeli,SMALL(IF(OrderIDList=$M$2,ROW(DaftarPembeli)-ROW(PartsData!E$2)+1),ROWS(PartsData!E$2:'PartsData'!E171))),"")</f>
        <v/>
      </c>
      <c r="O171" t="str">
        <f ca="1">IF(N171="","",COUNTIF(ListCariPembeli,"&lt;="&amp;$N171))</f>
        <v/>
      </c>
      <c r="P171" t="str">
        <f ca="1">IF(O171="","",INDEX(ListCariPembeli,MATCH(ROWS($O$2:$O171),$O$2:$O$201,0)))</f>
        <v/>
      </c>
      <c r="T171" s="77" t="str">
        <f t="array" aca="1" ref="T171" ca="1">IFERROR(INDEX(DaftarPembeli,SMALL(IF(OrderIDList=$S$2,ROW(DaftarPembeli)-ROW(PartsData!E$2)+1),ROWS(PartsData!E$2:'PartsData'!E171))),"")</f>
        <v/>
      </c>
      <c r="U171" s="77" t="str">
        <f ca="1">IF(T171="","",COUNTIF(ListNamaPembeli,"&lt;="&amp;$T171))</f>
        <v/>
      </c>
      <c r="V171" s="77" t="str">
        <f ca="1">IF(U171="","",INDEX(ListNamaPembeli,MATCH(ROWS($U$2:$U171),$U$2:$U$201,0)))</f>
        <v/>
      </c>
      <c r="Y171" s="77" t="str">
        <f t="array" aca="1" ref="Y171" ca="1">IFERROR(INDEX(RekapPembeli,SMALL(IF(RekapKontak=$X$2,ROW(RekapPembeli)-ROW(DataPemesanan!F$2)+1),ROWS(DataPemesanan!F$2:'DataPemesanan'!F171))),"")</f>
        <v/>
      </c>
      <c r="Z171" s="77" t="str">
        <f ca="1">IF(Y171="","",COUNTIF(DataRekapPembeli,"&lt;="&amp;$Y171))</f>
        <v/>
      </c>
      <c r="AA171" s="77" t="str">
        <f ca="1">IF(Z171="","",INDEX(DataRekapPembeli,MATCH(ROWS($Z$2:$Z171),$Z$2:$Z$201,0)))</f>
        <v/>
      </c>
    </row>
    <row r="172" spans="10:27">
      <c r="J172" t="str">
        <f t="array" aca="1" ref="J172" ca="1">IFERROR(INDEX(DaftarPembeli,SMALL(IF(OrderIDList=$I$2,ROW(DaftarPembeli)-ROW(PartsData!E$2)+1),ROWS(PartsData!E$2:'PartsData'!E172))),"")</f>
        <v/>
      </c>
      <c r="K172" t="str">
        <f ca="1">IF(J172="","",COUNTIF(ListPembeli,"&lt;="&amp;$J172))</f>
        <v/>
      </c>
      <c r="L172" t="str">
        <f ca="1">IF(K172="","",INDEX(ListPembeli,MATCH(ROWS($K$2:$K172),$K$2:$K$101,0)))</f>
        <v/>
      </c>
      <c r="N172" s="77" t="str">
        <f t="array" aca="1" ref="N172" ca="1">IFERROR(INDEX(DaftarPembeli,SMALL(IF(OrderIDList=$M$2,ROW(DaftarPembeli)-ROW(PartsData!E$2)+1),ROWS(PartsData!E$2:'PartsData'!E172))),"")</f>
        <v/>
      </c>
      <c r="O172" t="str">
        <f ca="1">IF(N172="","",COUNTIF(ListCariPembeli,"&lt;="&amp;$N172))</f>
        <v/>
      </c>
      <c r="P172" t="str">
        <f ca="1">IF(O172="","",INDEX(ListCariPembeli,MATCH(ROWS($O$2:$O172),$O$2:$O$201,0)))</f>
        <v/>
      </c>
      <c r="T172" s="77" t="str">
        <f t="array" aca="1" ref="T172" ca="1">IFERROR(INDEX(DaftarPembeli,SMALL(IF(OrderIDList=$S$2,ROW(DaftarPembeli)-ROW(PartsData!E$2)+1),ROWS(PartsData!E$2:'PartsData'!E172))),"")</f>
        <v/>
      </c>
      <c r="U172" s="77" t="str">
        <f ca="1">IF(T172="","",COUNTIF(ListNamaPembeli,"&lt;="&amp;$T172))</f>
        <v/>
      </c>
      <c r="V172" s="77" t="str">
        <f ca="1">IF(U172="","",INDEX(ListNamaPembeli,MATCH(ROWS($U$2:$U172),$U$2:$U$201,0)))</f>
        <v/>
      </c>
      <c r="Y172" s="77" t="str">
        <f t="array" aca="1" ref="Y172" ca="1">IFERROR(INDEX(RekapPembeli,SMALL(IF(RekapKontak=$X$2,ROW(RekapPembeli)-ROW(DataPemesanan!F$2)+1),ROWS(DataPemesanan!F$2:'DataPemesanan'!F172))),"")</f>
        <v/>
      </c>
      <c r="Z172" s="77" t="str">
        <f ca="1">IF(Y172="","",COUNTIF(DataRekapPembeli,"&lt;="&amp;$Y172))</f>
        <v/>
      </c>
      <c r="AA172" s="77" t="str">
        <f ca="1">IF(Z172="","",INDEX(DataRekapPembeli,MATCH(ROWS($Z$2:$Z172),$Z$2:$Z$201,0)))</f>
        <v/>
      </c>
    </row>
    <row r="173" spans="10:27">
      <c r="J173" t="str">
        <f t="array" aca="1" ref="J173" ca="1">IFERROR(INDEX(DaftarPembeli,SMALL(IF(OrderIDList=$I$2,ROW(DaftarPembeli)-ROW(PartsData!E$2)+1),ROWS(PartsData!E$2:'PartsData'!E173))),"")</f>
        <v/>
      </c>
      <c r="K173" t="str">
        <f ca="1">IF(J173="","",COUNTIF(ListPembeli,"&lt;="&amp;$J173))</f>
        <v/>
      </c>
      <c r="L173" t="str">
        <f ca="1">IF(K173="","",INDEX(ListPembeli,MATCH(ROWS($K$2:$K173),$K$2:$K$101,0)))</f>
        <v/>
      </c>
      <c r="N173" s="77" t="str">
        <f t="array" aca="1" ref="N173" ca="1">IFERROR(INDEX(DaftarPembeli,SMALL(IF(OrderIDList=$M$2,ROW(DaftarPembeli)-ROW(PartsData!E$2)+1),ROWS(PartsData!E$2:'PartsData'!E173))),"")</f>
        <v/>
      </c>
      <c r="O173" t="str">
        <f ca="1">IF(N173="","",COUNTIF(ListCariPembeli,"&lt;="&amp;$N173))</f>
        <v/>
      </c>
      <c r="P173" t="str">
        <f ca="1">IF(O173="","",INDEX(ListCariPembeli,MATCH(ROWS($O$2:$O173),$O$2:$O$201,0)))</f>
        <v/>
      </c>
      <c r="T173" s="77" t="str">
        <f t="array" aca="1" ref="T173" ca="1">IFERROR(INDEX(DaftarPembeli,SMALL(IF(OrderIDList=$S$2,ROW(DaftarPembeli)-ROW(PartsData!E$2)+1),ROWS(PartsData!E$2:'PartsData'!E173))),"")</f>
        <v/>
      </c>
      <c r="U173" s="77" t="str">
        <f ca="1">IF(T173="","",COUNTIF(ListNamaPembeli,"&lt;="&amp;$T173))</f>
        <v/>
      </c>
      <c r="V173" s="77" t="str">
        <f ca="1">IF(U173="","",INDEX(ListNamaPembeli,MATCH(ROWS($U$2:$U173),$U$2:$U$201,0)))</f>
        <v/>
      </c>
      <c r="Y173" s="77" t="str">
        <f t="array" aca="1" ref="Y173" ca="1">IFERROR(INDEX(RekapPembeli,SMALL(IF(RekapKontak=$X$2,ROW(RekapPembeli)-ROW(DataPemesanan!F$2)+1),ROWS(DataPemesanan!F$2:'DataPemesanan'!F173))),"")</f>
        <v/>
      </c>
      <c r="Z173" s="77" t="str">
        <f ca="1">IF(Y173="","",COUNTIF(DataRekapPembeli,"&lt;="&amp;$Y173))</f>
        <v/>
      </c>
      <c r="AA173" s="77" t="str">
        <f ca="1">IF(Z173="","",INDEX(DataRekapPembeli,MATCH(ROWS($Z$2:$Z173),$Z$2:$Z$201,0)))</f>
        <v/>
      </c>
    </row>
    <row r="174" spans="10:27">
      <c r="J174" t="str">
        <f t="array" aca="1" ref="J174" ca="1">IFERROR(INDEX(DaftarPembeli,SMALL(IF(OrderIDList=$I$2,ROW(DaftarPembeli)-ROW(PartsData!E$2)+1),ROWS(PartsData!E$2:'PartsData'!E174))),"")</f>
        <v/>
      </c>
      <c r="K174" t="str">
        <f ca="1">IF(J174="","",COUNTIF(ListPembeli,"&lt;="&amp;$J174))</f>
        <v/>
      </c>
      <c r="L174" t="str">
        <f ca="1">IF(K174="","",INDEX(ListPembeli,MATCH(ROWS($K$2:$K174),$K$2:$K$101,0)))</f>
        <v/>
      </c>
      <c r="N174" s="77" t="str">
        <f t="array" aca="1" ref="N174" ca="1">IFERROR(INDEX(DaftarPembeli,SMALL(IF(OrderIDList=$M$2,ROW(DaftarPembeli)-ROW(PartsData!E$2)+1),ROWS(PartsData!E$2:'PartsData'!E174))),"")</f>
        <v/>
      </c>
      <c r="O174" t="str">
        <f ca="1">IF(N174="","",COUNTIF(ListCariPembeli,"&lt;="&amp;$N174))</f>
        <v/>
      </c>
      <c r="P174" t="str">
        <f ca="1">IF(O174="","",INDEX(ListCariPembeli,MATCH(ROWS($O$2:$O174),$O$2:$O$201,0)))</f>
        <v/>
      </c>
      <c r="T174" s="77" t="str">
        <f t="array" aca="1" ref="T174" ca="1">IFERROR(INDEX(DaftarPembeli,SMALL(IF(OrderIDList=$S$2,ROW(DaftarPembeli)-ROW(PartsData!E$2)+1),ROWS(PartsData!E$2:'PartsData'!E174))),"")</f>
        <v/>
      </c>
      <c r="U174" s="77" t="str">
        <f ca="1">IF(T174="","",COUNTIF(ListNamaPembeli,"&lt;="&amp;$T174))</f>
        <v/>
      </c>
      <c r="V174" s="77" t="str">
        <f ca="1">IF(U174="","",INDEX(ListNamaPembeli,MATCH(ROWS($U$2:$U174),$U$2:$U$201,0)))</f>
        <v/>
      </c>
      <c r="Y174" s="77" t="str">
        <f t="array" aca="1" ref="Y174" ca="1">IFERROR(INDEX(RekapPembeli,SMALL(IF(RekapKontak=$X$2,ROW(RekapPembeli)-ROW(DataPemesanan!F$2)+1),ROWS(DataPemesanan!F$2:'DataPemesanan'!F174))),"")</f>
        <v/>
      </c>
      <c r="Z174" s="77" t="str">
        <f ca="1">IF(Y174="","",COUNTIF(DataRekapPembeli,"&lt;="&amp;$Y174))</f>
        <v/>
      </c>
      <c r="AA174" s="77" t="str">
        <f ca="1">IF(Z174="","",INDEX(DataRekapPembeli,MATCH(ROWS($Z$2:$Z174),$Z$2:$Z$201,0)))</f>
        <v/>
      </c>
    </row>
    <row r="175" spans="10:27">
      <c r="J175" t="str">
        <f t="array" aca="1" ref="J175" ca="1">IFERROR(INDEX(DaftarPembeli,SMALL(IF(OrderIDList=$I$2,ROW(DaftarPembeli)-ROW(PartsData!E$2)+1),ROWS(PartsData!E$2:'PartsData'!E175))),"")</f>
        <v/>
      </c>
      <c r="K175" t="str">
        <f ca="1">IF(J175="","",COUNTIF(ListPembeli,"&lt;="&amp;$J175))</f>
        <v/>
      </c>
      <c r="L175" t="str">
        <f ca="1">IF(K175="","",INDEX(ListPembeli,MATCH(ROWS($K$2:$K175),$K$2:$K$101,0)))</f>
        <v/>
      </c>
      <c r="N175" s="77" t="str">
        <f t="array" aca="1" ref="N175" ca="1">IFERROR(INDEX(DaftarPembeli,SMALL(IF(OrderIDList=$M$2,ROW(DaftarPembeli)-ROW(PartsData!E$2)+1),ROWS(PartsData!E$2:'PartsData'!E175))),"")</f>
        <v/>
      </c>
      <c r="O175" t="str">
        <f ca="1">IF(N175="","",COUNTIF(ListCariPembeli,"&lt;="&amp;$N175))</f>
        <v/>
      </c>
      <c r="P175" t="str">
        <f ca="1">IF(O175="","",INDEX(ListCariPembeli,MATCH(ROWS($O$2:$O175),$O$2:$O$201,0)))</f>
        <v/>
      </c>
      <c r="T175" s="77" t="str">
        <f t="array" aca="1" ref="T175" ca="1">IFERROR(INDEX(DaftarPembeli,SMALL(IF(OrderIDList=$S$2,ROW(DaftarPembeli)-ROW(PartsData!E$2)+1),ROWS(PartsData!E$2:'PartsData'!E175))),"")</f>
        <v/>
      </c>
      <c r="U175" s="77" t="str">
        <f ca="1">IF(T175="","",COUNTIF(ListNamaPembeli,"&lt;="&amp;$T175))</f>
        <v/>
      </c>
      <c r="V175" s="77" t="str">
        <f ca="1">IF(U175="","",INDEX(ListNamaPembeli,MATCH(ROWS($U$2:$U175),$U$2:$U$201,0)))</f>
        <v/>
      </c>
      <c r="Y175" s="77" t="str">
        <f t="array" aca="1" ref="Y175" ca="1">IFERROR(INDEX(RekapPembeli,SMALL(IF(RekapKontak=$X$2,ROW(RekapPembeli)-ROW(DataPemesanan!F$2)+1),ROWS(DataPemesanan!F$2:'DataPemesanan'!F175))),"")</f>
        <v/>
      </c>
      <c r="Z175" s="77" t="str">
        <f ca="1">IF(Y175="","",COUNTIF(DataRekapPembeli,"&lt;="&amp;$Y175))</f>
        <v/>
      </c>
      <c r="AA175" s="77" t="str">
        <f ca="1">IF(Z175="","",INDEX(DataRekapPembeli,MATCH(ROWS($Z$2:$Z175),$Z$2:$Z$201,0)))</f>
        <v/>
      </c>
    </row>
    <row r="176" spans="10:27">
      <c r="J176" t="str">
        <f t="array" aca="1" ref="J176" ca="1">IFERROR(INDEX(DaftarPembeli,SMALL(IF(OrderIDList=$I$2,ROW(DaftarPembeli)-ROW(PartsData!E$2)+1),ROWS(PartsData!E$2:'PartsData'!E176))),"")</f>
        <v/>
      </c>
      <c r="K176" t="str">
        <f ca="1">IF(J176="","",COUNTIF(ListPembeli,"&lt;="&amp;$J176))</f>
        <v/>
      </c>
      <c r="L176" t="str">
        <f ca="1">IF(K176="","",INDEX(ListPembeli,MATCH(ROWS($K$2:$K176),$K$2:$K$101,0)))</f>
        <v/>
      </c>
      <c r="N176" s="77" t="str">
        <f t="array" aca="1" ref="N176" ca="1">IFERROR(INDEX(DaftarPembeli,SMALL(IF(OrderIDList=$M$2,ROW(DaftarPembeli)-ROW(PartsData!E$2)+1),ROWS(PartsData!E$2:'PartsData'!E176))),"")</f>
        <v/>
      </c>
      <c r="O176" t="str">
        <f ca="1">IF(N176="","",COUNTIF(ListCariPembeli,"&lt;="&amp;$N176))</f>
        <v/>
      </c>
      <c r="P176" t="str">
        <f ca="1">IF(O176="","",INDEX(ListCariPembeli,MATCH(ROWS($O$2:$O176),$O$2:$O$201,0)))</f>
        <v/>
      </c>
      <c r="T176" s="77" t="str">
        <f t="array" aca="1" ref="T176" ca="1">IFERROR(INDEX(DaftarPembeli,SMALL(IF(OrderIDList=$S$2,ROW(DaftarPembeli)-ROW(PartsData!E$2)+1),ROWS(PartsData!E$2:'PartsData'!E176))),"")</f>
        <v/>
      </c>
      <c r="U176" s="77" t="str">
        <f ca="1">IF(T176="","",COUNTIF(ListNamaPembeli,"&lt;="&amp;$T176))</f>
        <v/>
      </c>
      <c r="V176" s="77" t="str">
        <f ca="1">IF(U176="","",INDEX(ListNamaPembeli,MATCH(ROWS($U$2:$U176),$U$2:$U$201,0)))</f>
        <v/>
      </c>
      <c r="Y176" s="77" t="str">
        <f t="array" aca="1" ref="Y176" ca="1">IFERROR(INDEX(RekapPembeli,SMALL(IF(RekapKontak=$X$2,ROW(RekapPembeli)-ROW(DataPemesanan!F$2)+1),ROWS(DataPemesanan!F$2:'DataPemesanan'!F176))),"")</f>
        <v/>
      </c>
      <c r="Z176" s="77" t="str">
        <f ca="1">IF(Y176="","",COUNTIF(DataRekapPembeli,"&lt;="&amp;$Y176))</f>
        <v/>
      </c>
      <c r="AA176" s="77" t="str">
        <f ca="1">IF(Z176="","",INDEX(DataRekapPembeli,MATCH(ROWS($Z$2:$Z176),$Z$2:$Z$201,0)))</f>
        <v/>
      </c>
    </row>
    <row r="177" spans="10:27">
      <c r="J177" t="str">
        <f t="array" aca="1" ref="J177" ca="1">IFERROR(INDEX(DaftarPembeli,SMALL(IF(OrderIDList=$I$2,ROW(DaftarPembeli)-ROW(PartsData!E$2)+1),ROWS(PartsData!E$2:'PartsData'!E177))),"")</f>
        <v/>
      </c>
      <c r="K177" t="str">
        <f ca="1">IF(J177="","",COUNTIF(ListPembeli,"&lt;="&amp;$J177))</f>
        <v/>
      </c>
      <c r="L177" t="str">
        <f ca="1">IF(K177="","",INDEX(ListPembeli,MATCH(ROWS($K$2:$K177),$K$2:$K$101,0)))</f>
        <v/>
      </c>
      <c r="N177" s="77" t="str">
        <f t="array" aca="1" ref="N177" ca="1">IFERROR(INDEX(DaftarPembeli,SMALL(IF(OrderIDList=$M$2,ROW(DaftarPembeli)-ROW(PartsData!E$2)+1),ROWS(PartsData!E$2:'PartsData'!E177))),"")</f>
        <v/>
      </c>
      <c r="O177" t="str">
        <f ca="1">IF(N177="","",COUNTIF(ListCariPembeli,"&lt;="&amp;$N177))</f>
        <v/>
      </c>
      <c r="P177" t="str">
        <f ca="1">IF(O177="","",INDEX(ListCariPembeli,MATCH(ROWS($O$2:$O177),$O$2:$O$201,0)))</f>
        <v/>
      </c>
      <c r="T177" s="77" t="str">
        <f t="array" aca="1" ref="T177" ca="1">IFERROR(INDEX(DaftarPembeli,SMALL(IF(OrderIDList=$S$2,ROW(DaftarPembeli)-ROW(PartsData!E$2)+1),ROWS(PartsData!E$2:'PartsData'!E177))),"")</f>
        <v/>
      </c>
      <c r="U177" s="77" t="str">
        <f ca="1">IF(T177="","",COUNTIF(ListNamaPembeli,"&lt;="&amp;$T177))</f>
        <v/>
      </c>
      <c r="V177" s="77" t="str">
        <f ca="1">IF(U177="","",INDEX(ListNamaPembeli,MATCH(ROWS($U$2:$U177),$U$2:$U$201,0)))</f>
        <v/>
      </c>
      <c r="Y177" s="77" t="str">
        <f t="array" aca="1" ref="Y177" ca="1">IFERROR(INDEX(RekapPembeli,SMALL(IF(RekapKontak=$X$2,ROW(RekapPembeli)-ROW(DataPemesanan!F$2)+1),ROWS(DataPemesanan!F$2:'DataPemesanan'!F177))),"")</f>
        <v/>
      </c>
      <c r="Z177" s="77" t="str">
        <f ca="1">IF(Y177="","",COUNTIF(DataRekapPembeli,"&lt;="&amp;$Y177))</f>
        <v/>
      </c>
      <c r="AA177" s="77" t="str">
        <f ca="1">IF(Z177="","",INDEX(DataRekapPembeli,MATCH(ROWS($Z$2:$Z177),$Z$2:$Z$201,0)))</f>
        <v/>
      </c>
    </row>
    <row r="178" spans="10:27">
      <c r="J178" t="str">
        <f t="array" aca="1" ref="J178" ca="1">IFERROR(INDEX(DaftarPembeli,SMALL(IF(OrderIDList=$I$2,ROW(DaftarPembeli)-ROW(PartsData!E$2)+1),ROWS(PartsData!E$2:'PartsData'!E178))),"")</f>
        <v/>
      </c>
      <c r="K178" t="str">
        <f ca="1">IF(J178="","",COUNTIF(ListPembeli,"&lt;="&amp;$J178))</f>
        <v/>
      </c>
      <c r="L178" t="str">
        <f ca="1">IF(K178="","",INDEX(ListPembeli,MATCH(ROWS($K$2:$K178),$K$2:$K$101,0)))</f>
        <v/>
      </c>
      <c r="N178" s="77" t="str">
        <f t="array" aca="1" ref="N178" ca="1">IFERROR(INDEX(DaftarPembeli,SMALL(IF(OrderIDList=$M$2,ROW(DaftarPembeli)-ROW(PartsData!E$2)+1),ROWS(PartsData!E$2:'PartsData'!E178))),"")</f>
        <v/>
      </c>
      <c r="O178" t="str">
        <f ca="1">IF(N178="","",COUNTIF(ListCariPembeli,"&lt;="&amp;$N178))</f>
        <v/>
      </c>
      <c r="P178" t="str">
        <f ca="1">IF(O178="","",INDEX(ListCariPembeli,MATCH(ROWS($O$2:$O178),$O$2:$O$201,0)))</f>
        <v/>
      </c>
      <c r="T178" s="77" t="str">
        <f t="array" aca="1" ref="T178" ca="1">IFERROR(INDEX(DaftarPembeli,SMALL(IF(OrderIDList=$S$2,ROW(DaftarPembeli)-ROW(PartsData!E$2)+1),ROWS(PartsData!E$2:'PartsData'!E178))),"")</f>
        <v/>
      </c>
      <c r="U178" s="77" t="str">
        <f ca="1">IF(T178="","",COUNTIF(ListNamaPembeli,"&lt;="&amp;$T178))</f>
        <v/>
      </c>
      <c r="V178" s="77" t="str">
        <f ca="1">IF(U178="","",INDEX(ListNamaPembeli,MATCH(ROWS($U$2:$U178),$U$2:$U$201,0)))</f>
        <v/>
      </c>
      <c r="Y178" s="77" t="str">
        <f t="array" aca="1" ref="Y178" ca="1">IFERROR(INDEX(RekapPembeli,SMALL(IF(RekapKontak=$X$2,ROW(RekapPembeli)-ROW(DataPemesanan!F$2)+1),ROWS(DataPemesanan!F$2:'DataPemesanan'!F178))),"")</f>
        <v/>
      </c>
      <c r="Z178" s="77" t="str">
        <f ca="1">IF(Y178="","",COUNTIF(DataRekapPembeli,"&lt;="&amp;$Y178))</f>
        <v/>
      </c>
      <c r="AA178" s="77" t="str">
        <f ca="1">IF(Z178="","",INDEX(DataRekapPembeli,MATCH(ROWS($Z$2:$Z178),$Z$2:$Z$201,0)))</f>
        <v/>
      </c>
    </row>
    <row r="179" spans="10:27">
      <c r="J179" t="str">
        <f t="array" aca="1" ref="J179" ca="1">IFERROR(INDEX(DaftarPembeli,SMALL(IF(OrderIDList=$I$2,ROW(DaftarPembeli)-ROW(PartsData!E$2)+1),ROWS(PartsData!E$2:'PartsData'!E179))),"")</f>
        <v/>
      </c>
      <c r="K179" t="str">
        <f ca="1">IF(J179="","",COUNTIF(ListPembeli,"&lt;="&amp;$J179))</f>
        <v/>
      </c>
      <c r="L179" t="str">
        <f ca="1">IF(K179="","",INDEX(ListPembeli,MATCH(ROWS($K$2:$K179),$K$2:$K$101,0)))</f>
        <v/>
      </c>
      <c r="N179" s="77" t="str">
        <f t="array" aca="1" ref="N179" ca="1">IFERROR(INDEX(DaftarPembeli,SMALL(IF(OrderIDList=$M$2,ROW(DaftarPembeli)-ROW(PartsData!E$2)+1),ROWS(PartsData!E$2:'PartsData'!E179))),"")</f>
        <v/>
      </c>
      <c r="O179" t="str">
        <f ca="1">IF(N179="","",COUNTIF(ListCariPembeli,"&lt;="&amp;$N179))</f>
        <v/>
      </c>
      <c r="P179" t="str">
        <f ca="1">IF(O179="","",INDEX(ListCariPembeli,MATCH(ROWS($O$2:$O179),$O$2:$O$201,0)))</f>
        <v/>
      </c>
      <c r="T179" s="77" t="str">
        <f t="array" aca="1" ref="T179" ca="1">IFERROR(INDEX(DaftarPembeli,SMALL(IF(OrderIDList=$S$2,ROW(DaftarPembeli)-ROW(PartsData!E$2)+1),ROWS(PartsData!E$2:'PartsData'!E179))),"")</f>
        <v/>
      </c>
      <c r="U179" s="77" t="str">
        <f ca="1">IF(T179="","",COUNTIF(ListNamaPembeli,"&lt;="&amp;$T179))</f>
        <v/>
      </c>
      <c r="V179" s="77" t="str">
        <f ca="1">IF(U179="","",INDEX(ListNamaPembeli,MATCH(ROWS($U$2:$U179),$U$2:$U$201,0)))</f>
        <v/>
      </c>
      <c r="Y179" s="77" t="str">
        <f t="array" aca="1" ref="Y179" ca="1">IFERROR(INDEX(RekapPembeli,SMALL(IF(RekapKontak=$X$2,ROW(RekapPembeli)-ROW(DataPemesanan!F$2)+1),ROWS(DataPemesanan!F$2:'DataPemesanan'!F179))),"")</f>
        <v/>
      </c>
      <c r="Z179" s="77" t="str">
        <f ca="1">IF(Y179="","",COUNTIF(DataRekapPembeli,"&lt;="&amp;$Y179))</f>
        <v/>
      </c>
      <c r="AA179" s="77" t="str">
        <f ca="1">IF(Z179="","",INDEX(DataRekapPembeli,MATCH(ROWS($Z$2:$Z179),$Z$2:$Z$201,0)))</f>
        <v/>
      </c>
    </row>
    <row r="180" spans="10:27">
      <c r="J180" t="str">
        <f t="array" aca="1" ref="J180" ca="1">IFERROR(INDEX(DaftarPembeli,SMALL(IF(OrderIDList=$I$2,ROW(DaftarPembeli)-ROW(PartsData!E$2)+1),ROWS(PartsData!E$2:'PartsData'!E180))),"")</f>
        <v/>
      </c>
      <c r="K180" t="str">
        <f ca="1">IF(J180="","",COUNTIF(ListPembeli,"&lt;="&amp;$J180))</f>
        <v/>
      </c>
      <c r="L180" t="str">
        <f ca="1">IF(K180="","",INDEX(ListPembeli,MATCH(ROWS($K$2:$K180),$K$2:$K$101,0)))</f>
        <v/>
      </c>
      <c r="N180" s="77" t="str">
        <f t="array" aca="1" ref="N180" ca="1">IFERROR(INDEX(DaftarPembeli,SMALL(IF(OrderIDList=$M$2,ROW(DaftarPembeli)-ROW(PartsData!E$2)+1),ROWS(PartsData!E$2:'PartsData'!E180))),"")</f>
        <v/>
      </c>
      <c r="O180" t="str">
        <f ca="1">IF(N180="","",COUNTIF(ListCariPembeli,"&lt;="&amp;$N180))</f>
        <v/>
      </c>
      <c r="P180" t="str">
        <f ca="1">IF(O180="","",INDEX(ListCariPembeli,MATCH(ROWS($O$2:$O180),$O$2:$O$201,0)))</f>
        <v/>
      </c>
      <c r="T180" s="77" t="str">
        <f t="array" aca="1" ref="T180" ca="1">IFERROR(INDEX(DaftarPembeli,SMALL(IF(OrderIDList=$S$2,ROW(DaftarPembeli)-ROW(PartsData!E$2)+1),ROWS(PartsData!E$2:'PartsData'!E180))),"")</f>
        <v/>
      </c>
      <c r="U180" s="77" t="str">
        <f ca="1">IF(T180="","",COUNTIF(ListNamaPembeli,"&lt;="&amp;$T180))</f>
        <v/>
      </c>
      <c r="V180" s="77" t="str">
        <f ca="1">IF(U180="","",INDEX(ListNamaPembeli,MATCH(ROWS($U$2:$U180),$U$2:$U$201,0)))</f>
        <v/>
      </c>
      <c r="Y180" s="77" t="str">
        <f t="array" aca="1" ref="Y180" ca="1">IFERROR(INDEX(RekapPembeli,SMALL(IF(RekapKontak=$X$2,ROW(RekapPembeli)-ROW(DataPemesanan!F$2)+1),ROWS(DataPemesanan!F$2:'DataPemesanan'!F180))),"")</f>
        <v/>
      </c>
      <c r="Z180" s="77" t="str">
        <f ca="1">IF(Y180="","",COUNTIF(DataRekapPembeli,"&lt;="&amp;$Y180))</f>
        <v/>
      </c>
      <c r="AA180" s="77" t="str">
        <f ca="1">IF(Z180="","",INDEX(DataRekapPembeli,MATCH(ROWS($Z$2:$Z180),$Z$2:$Z$201,0)))</f>
        <v/>
      </c>
    </row>
    <row r="181" spans="10:27">
      <c r="J181" t="str">
        <f t="array" aca="1" ref="J181" ca="1">IFERROR(INDEX(DaftarPembeli,SMALL(IF(OrderIDList=$I$2,ROW(DaftarPembeli)-ROW(PartsData!E$2)+1),ROWS(PartsData!E$2:'PartsData'!E181))),"")</f>
        <v/>
      </c>
      <c r="K181" t="str">
        <f ca="1">IF(J181="","",COUNTIF(ListPembeli,"&lt;="&amp;$J181))</f>
        <v/>
      </c>
      <c r="L181" t="str">
        <f ca="1">IF(K181="","",INDEX(ListPembeli,MATCH(ROWS($K$2:$K181),$K$2:$K$101,0)))</f>
        <v/>
      </c>
      <c r="N181" s="77" t="str">
        <f t="array" aca="1" ref="N181" ca="1">IFERROR(INDEX(DaftarPembeli,SMALL(IF(OrderIDList=$M$2,ROW(DaftarPembeli)-ROW(PartsData!E$2)+1),ROWS(PartsData!E$2:'PartsData'!E181))),"")</f>
        <v/>
      </c>
      <c r="O181" t="str">
        <f ca="1">IF(N181="","",COUNTIF(ListCariPembeli,"&lt;="&amp;$N181))</f>
        <v/>
      </c>
      <c r="P181" t="str">
        <f ca="1">IF(O181="","",INDEX(ListCariPembeli,MATCH(ROWS($O$2:$O181),$O$2:$O$201,0)))</f>
        <v/>
      </c>
      <c r="T181" s="77" t="str">
        <f t="array" aca="1" ref="T181" ca="1">IFERROR(INDEX(DaftarPembeli,SMALL(IF(OrderIDList=$S$2,ROW(DaftarPembeli)-ROW(PartsData!E$2)+1),ROWS(PartsData!E$2:'PartsData'!E181))),"")</f>
        <v/>
      </c>
      <c r="U181" s="77" t="str">
        <f ca="1">IF(T181="","",COUNTIF(ListNamaPembeli,"&lt;="&amp;$T181))</f>
        <v/>
      </c>
      <c r="V181" s="77" t="str">
        <f ca="1">IF(U181="","",INDEX(ListNamaPembeli,MATCH(ROWS($U$2:$U181),$U$2:$U$201,0)))</f>
        <v/>
      </c>
      <c r="Y181" s="77" t="str">
        <f t="array" aca="1" ref="Y181" ca="1">IFERROR(INDEX(RekapPembeli,SMALL(IF(RekapKontak=$X$2,ROW(RekapPembeli)-ROW(DataPemesanan!F$2)+1),ROWS(DataPemesanan!F$2:'DataPemesanan'!F181))),"")</f>
        <v/>
      </c>
      <c r="Z181" s="77" t="str">
        <f ca="1">IF(Y181="","",COUNTIF(DataRekapPembeli,"&lt;="&amp;$Y181))</f>
        <v/>
      </c>
      <c r="AA181" s="77" t="str">
        <f ca="1">IF(Z181="","",INDEX(DataRekapPembeli,MATCH(ROWS($Z$2:$Z181),$Z$2:$Z$201,0)))</f>
        <v/>
      </c>
    </row>
    <row r="182" spans="10:27">
      <c r="J182" t="str">
        <f t="array" aca="1" ref="J182" ca="1">IFERROR(INDEX(DaftarPembeli,SMALL(IF(OrderIDList=$I$2,ROW(DaftarPembeli)-ROW(PartsData!E$2)+1),ROWS(PartsData!E$2:'PartsData'!E182))),"")</f>
        <v/>
      </c>
      <c r="K182" t="str">
        <f ca="1">IF(J182="","",COUNTIF(ListPembeli,"&lt;="&amp;$J182))</f>
        <v/>
      </c>
      <c r="L182" t="str">
        <f ca="1">IF(K182="","",INDEX(ListPembeli,MATCH(ROWS($K$2:$K182),$K$2:$K$101,0)))</f>
        <v/>
      </c>
      <c r="N182" s="77" t="str">
        <f t="array" aca="1" ref="N182" ca="1">IFERROR(INDEX(DaftarPembeli,SMALL(IF(OrderIDList=$M$2,ROW(DaftarPembeli)-ROW(PartsData!E$2)+1),ROWS(PartsData!E$2:'PartsData'!E182))),"")</f>
        <v/>
      </c>
      <c r="O182" t="str">
        <f ca="1">IF(N182="","",COUNTIF(ListCariPembeli,"&lt;="&amp;$N182))</f>
        <v/>
      </c>
      <c r="P182" t="str">
        <f ca="1">IF(O182="","",INDEX(ListCariPembeli,MATCH(ROWS($O$2:$O182),$O$2:$O$201,0)))</f>
        <v/>
      </c>
      <c r="T182" s="77" t="str">
        <f t="array" aca="1" ref="T182" ca="1">IFERROR(INDEX(DaftarPembeli,SMALL(IF(OrderIDList=$S$2,ROW(DaftarPembeli)-ROW(PartsData!E$2)+1),ROWS(PartsData!E$2:'PartsData'!E182))),"")</f>
        <v/>
      </c>
      <c r="U182" s="77" t="str">
        <f ca="1">IF(T182="","",COUNTIF(ListNamaPembeli,"&lt;="&amp;$T182))</f>
        <v/>
      </c>
      <c r="V182" s="77" t="str">
        <f ca="1">IF(U182="","",INDEX(ListNamaPembeli,MATCH(ROWS($U$2:$U182),$U$2:$U$201,0)))</f>
        <v/>
      </c>
      <c r="Y182" s="77" t="str">
        <f t="array" aca="1" ref="Y182" ca="1">IFERROR(INDEX(RekapPembeli,SMALL(IF(RekapKontak=$X$2,ROW(RekapPembeli)-ROW(DataPemesanan!F$2)+1),ROWS(DataPemesanan!F$2:'DataPemesanan'!F182))),"")</f>
        <v/>
      </c>
      <c r="Z182" s="77" t="str">
        <f ca="1">IF(Y182="","",COUNTIF(DataRekapPembeli,"&lt;="&amp;$Y182))</f>
        <v/>
      </c>
      <c r="AA182" s="77" t="str">
        <f ca="1">IF(Z182="","",INDEX(DataRekapPembeli,MATCH(ROWS($Z$2:$Z182),$Z$2:$Z$201,0)))</f>
        <v/>
      </c>
    </row>
    <row r="183" spans="10:27">
      <c r="J183" t="str">
        <f t="array" aca="1" ref="J183" ca="1">IFERROR(INDEX(DaftarPembeli,SMALL(IF(OrderIDList=$I$2,ROW(DaftarPembeli)-ROW(PartsData!E$2)+1),ROWS(PartsData!E$2:'PartsData'!E183))),"")</f>
        <v/>
      </c>
      <c r="K183" t="str">
        <f ca="1">IF(J183="","",COUNTIF(ListPembeli,"&lt;="&amp;$J183))</f>
        <v/>
      </c>
      <c r="L183" t="str">
        <f ca="1">IF(K183="","",INDEX(ListPembeli,MATCH(ROWS($K$2:$K183),$K$2:$K$101,0)))</f>
        <v/>
      </c>
      <c r="N183" s="77" t="str">
        <f t="array" aca="1" ref="N183" ca="1">IFERROR(INDEX(DaftarPembeli,SMALL(IF(OrderIDList=$M$2,ROW(DaftarPembeli)-ROW(PartsData!E$2)+1),ROWS(PartsData!E$2:'PartsData'!E183))),"")</f>
        <v/>
      </c>
      <c r="O183" t="str">
        <f ca="1">IF(N183="","",COUNTIF(ListCariPembeli,"&lt;="&amp;$N183))</f>
        <v/>
      </c>
      <c r="P183" t="str">
        <f ca="1">IF(O183="","",INDEX(ListCariPembeli,MATCH(ROWS($O$2:$O183),$O$2:$O$201,0)))</f>
        <v/>
      </c>
      <c r="T183" s="77" t="str">
        <f t="array" aca="1" ref="T183" ca="1">IFERROR(INDEX(DaftarPembeli,SMALL(IF(OrderIDList=$S$2,ROW(DaftarPembeli)-ROW(PartsData!E$2)+1),ROWS(PartsData!E$2:'PartsData'!E183))),"")</f>
        <v/>
      </c>
      <c r="U183" s="77" t="str">
        <f ca="1">IF(T183="","",COUNTIF(ListNamaPembeli,"&lt;="&amp;$T183))</f>
        <v/>
      </c>
      <c r="V183" s="77" t="str">
        <f ca="1">IF(U183="","",INDEX(ListNamaPembeli,MATCH(ROWS($U$2:$U183),$U$2:$U$201,0)))</f>
        <v/>
      </c>
      <c r="Y183" s="77" t="str">
        <f t="array" aca="1" ref="Y183" ca="1">IFERROR(INDEX(RekapPembeli,SMALL(IF(RekapKontak=$X$2,ROW(RekapPembeli)-ROW(DataPemesanan!F$2)+1),ROWS(DataPemesanan!F$2:'DataPemesanan'!F183))),"")</f>
        <v/>
      </c>
      <c r="Z183" s="77" t="str">
        <f ca="1">IF(Y183="","",COUNTIF(DataRekapPembeli,"&lt;="&amp;$Y183))</f>
        <v/>
      </c>
      <c r="AA183" s="77" t="str">
        <f ca="1">IF(Z183="","",INDEX(DataRekapPembeli,MATCH(ROWS($Z$2:$Z183),$Z$2:$Z$201,0)))</f>
        <v/>
      </c>
    </row>
    <row r="184" spans="10:27">
      <c r="J184" t="str">
        <f t="array" aca="1" ref="J184" ca="1">IFERROR(INDEX(DaftarPembeli,SMALL(IF(OrderIDList=$I$2,ROW(DaftarPembeli)-ROW(PartsData!E$2)+1),ROWS(PartsData!E$2:'PartsData'!E184))),"")</f>
        <v/>
      </c>
      <c r="K184" t="str">
        <f ca="1">IF(J184="","",COUNTIF(ListPembeli,"&lt;="&amp;$J184))</f>
        <v/>
      </c>
      <c r="L184" t="str">
        <f ca="1">IF(K184="","",INDEX(ListPembeli,MATCH(ROWS($K$2:$K184),$K$2:$K$101,0)))</f>
        <v/>
      </c>
      <c r="N184" s="77" t="str">
        <f t="array" aca="1" ref="N184" ca="1">IFERROR(INDEX(DaftarPembeli,SMALL(IF(OrderIDList=$M$2,ROW(DaftarPembeli)-ROW(PartsData!E$2)+1),ROWS(PartsData!E$2:'PartsData'!E184))),"")</f>
        <v/>
      </c>
      <c r="O184" t="str">
        <f ca="1">IF(N184="","",COUNTIF(ListCariPembeli,"&lt;="&amp;$N184))</f>
        <v/>
      </c>
      <c r="P184" t="str">
        <f ca="1">IF(O184="","",INDEX(ListCariPembeli,MATCH(ROWS($O$2:$O184),$O$2:$O$201,0)))</f>
        <v/>
      </c>
      <c r="T184" s="77" t="str">
        <f t="array" aca="1" ref="T184" ca="1">IFERROR(INDEX(DaftarPembeli,SMALL(IF(OrderIDList=$S$2,ROW(DaftarPembeli)-ROW(PartsData!E$2)+1),ROWS(PartsData!E$2:'PartsData'!E184))),"")</f>
        <v/>
      </c>
      <c r="U184" s="77" t="str">
        <f ca="1">IF(T184="","",COUNTIF(ListNamaPembeli,"&lt;="&amp;$T184))</f>
        <v/>
      </c>
      <c r="V184" s="77" t="str">
        <f ca="1">IF(U184="","",INDEX(ListNamaPembeli,MATCH(ROWS($U$2:$U184),$U$2:$U$201,0)))</f>
        <v/>
      </c>
      <c r="Y184" s="77" t="str">
        <f t="array" aca="1" ref="Y184" ca="1">IFERROR(INDEX(RekapPembeli,SMALL(IF(RekapKontak=$X$2,ROW(RekapPembeli)-ROW(DataPemesanan!F$2)+1),ROWS(DataPemesanan!F$2:'DataPemesanan'!F184))),"")</f>
        <v/>
      </c>
      <c r="Z184" s="77" t="str">
        <f ca="1">IF(Y184="","",COUNTIF(DataRekapPembeli,"&lt;="&amp;$Y184))</f>
        <v/>
      </c>
      <c r="AA184" s="77" t="str">
        <f ca="1">IF(Z184="","",INDEX(DataRekapPembeli,MATCH(ROWS($Z$2:$Z184),$Z$2:$Z$201,0)))</f>
        <v/>
      </c>
    </row>
    <row r="185" spans="10:27">
      <c r="J185" t="str">
        <f t="array" aca="1" ref="J185" ca="1">IFERROR(INDEX(DaftarPembeli,SMALL(IF(OrderIDList=$I$2,ROW(DaftarPembeli)-ROW(PartsData!E$2)+1),ROWS(PartsData!E$2:'PartsData'!E185))),"")</f>
        <v/>
      </c>
      <c r="K185" t="str">
        <f ca="1">IF(J185="","",COUNTIF(ListPembeli,"&lt;="&amp;$J185))</f>
        <v/>
      </c>
      <c r="L185" t="str">
        <f ca="1">IF(K185="","",INDEX(ListPembeli,MATCH(ROWS($K$2:$K185),$K$2:$K$101,0)))</f>
        <v/>
      </c>
      <c r="N185" s="77" t="str">
        <f t="array" aca="1" ref="N185" ca="1">IFERROR(INDEX(DaftarPembeli,SMALL(IF(OrderIDList=$M$2,ROW(DaftarPembeli)-ROW(PartsData!E$2)+1),ROWS(PartsData!E$2:'PartsData'!E185))),"")</f>
        <v/>
      </c>
      <c r="O185" t="str">
        <f ca="1">IF(N185="","",COUNTIF(ListCariPembeli,"&lt;="&amp;$N185))</f>
        <v/>
      </c>
      <c r="P185" t="str">
        <f ca="1">IF(O185="","",INDEX(ListCariPembeli,MATCH(ROWS($O$2:$O185),$O$2:$O$201,0)))</f>
        <v/>
      </c>
      <c r="T185" s="77" t="str">
        <f t="array" aca="1" ref="T185" ca="1">IFERROR(INDEX(DaftarPembeli,SMALL(IF(OrderIDList=$S$2,ROW(DaftarPembeli)-ROW(PartsData!E$2)+1),ROWS(PartsData!E$2:'PartsData'!E185))),"")</f>
        <v/>
      </c>
      <c r="U185" s="77" t="str">
        <f ca="1">IF(T185="","",COUNTIF(ListNamaPembeli,"&lt;="&amp;$T185))</f>
        <v/>
      </c>
      <c r="V185" s="77" t="str">
        <f ca="1">IF(U185="","",INDEX(ListNamaPembeli,MATCH(ROWS($U$2:$U185),$U$2:$U$201,0)))</f>
        <v/>
      </c>
      <c r="Y185" s="77" t="str">
        <f t="array" aca="1" ref="Y185" ca="1">IFERROR(INDEX(RekapPembeli,SMALL(IF(RekapKontak=$X$2,ROW(RekapPembeli)-ROW(DataPemesanan!F$2)+1),ROWS(DataPemesanan!F$2:'DataPemesanan'!F185))),"")</f>
        <v/>
      </c>
      <c r="Z185" s="77" t="str">
        <f ca="1">IF(Y185="","",COUNTIF(DataRekapPembeli,"&lt;="&amp;$Y185))</f>
        <v/>
      </c>
      <c r="AA185" s="77" t="str">
        <f ca="1">IF(Z185="","",INDEX(DataRekapPembeli,MATCH(ROWS($Z$2:$Z185),$Z$2:$Z$201,0)))</f>
        <v/>
      </c>
    </row>
    <row r="186" spans="10:27">
      <c r="J186" t="str">
        <f t="array" aca="1" ref="J186" ca="1">IFERROR(INDEX(DaftarPembeli,SMALL(IF(OrderIDList=$I$2,ROW(DaftarPembeli)-ROW(PartsData!E$2)+1),ROWS(PartsData!E$2:'PartsData'!E186))),"")</f>
        <v/>
      </c>
      <c r="K186" t="str">
        <f ca="1">IF(J186="","",COUNTIF(ListPembeli,"&lt;="&amp;$J186))</f>
        <v/>
      </c>
      <c r="L186" t="str">
        <f ca="1">IF(K186="","",INDEX(ListPembeli,MATCH(ROWS($K$2:$K186),$K$2:$K$101,0)))</f>
        <v/>
      </c>
      <c r="N186" s="77" t="str">
        <f t="array" aca="1" ref="N186" ca="1">IFERROR(INDEX(DaftarPembeli,SMALL(IF(OrderIDList=$M$2,ROW(DaftarPembeli)-ROW(PartsData!E$2)+1),ROWS(PartsData!E$2:'PartsData'!E186))),"")</f>
        <v/>
      </c>
      <c r="O186" t="str">
        <f ca="1">IF(N186="","",COUNTIF(ListCariPembeli,"&lt;="&amp;$N186))</f>
        <v/>
      </c>
      <c r="P186" t="str">
        <f ca="1">IF(O186="","",INDEX(ListCariPembeli,MATCH(ROWS($O$2:$O186),$O$2:$O$201,0)))</f>
        <v/>
      </c>
      <c r="T186" s="77" t="str">
        <f t="array" aca="1" ref="T186" ca="1">IFERROR(INDEX(DaftarPembeli,SMALL(IF(OrderIDList=$S$2,ROW(DaftarPembeli)-ROW(PartsData!E$2)+1),ROWS(PartsData!E$2:'PartsData'!E186))),"")</f>
        <v/>
      </c>
      <c r="U186" s="77" t="str">
        <f ca="1">IF(T186="","",COUNTIF(ListNamaPembeli,"&lt;="&amp;$T186))</f>
        <v/>
      </c>
      <c r="V186" s="77" t="str">
        <f ca="1">IF(U186="","",INDEX(ListNamaPembeli,MATCH(ROWS($U$2:$U186),$U$2:$U$201,0)))</f>
        <v/>
      </c>
      <c r="Y186" s="77" t="str">
        <f t="array" aca="1" ref="Y186" ca="1">IFERROR(INDEX(RekapPembeli,SMALL(IF(RekapKontak=$X$2,ROW(RekapPembeli)-ROW(DataPemesanan!F$2)+1),ROWS(DataPemesanan!F$2:'DataPemesanan'!F186))),"")</f>
        <v/>
      </c>
      <c r="Z186" s="77" t="str">
        <f ca="1">IF(Y186="","",COUNTIF(DataRekapPembeli,"&lt;="&amp;$Y186))</f>
        <v/>
      </c>
      <c r="AA186" s="77" t="str">
        <f ca="1">IF(Z186="","",INDEX(DataRekapPembeli,MATCH(ROWS($Z$2:$Z186),$Z$2:$Z$201,0)))</f>
        <v/>
      </c>
    </row>
    <row r="187" spans="10:27">
      <c r="J187" t="str">
        <f t="array" aca="1" ref="J187" ca="1">IFERROR(INDEX(DaftarPembeli,SMALL(IF(OrderIDList=$I$2,ROW(DaftarPembeli)-ROW(PartsData!E$2)+1),ROWS(PartsData!E$2:'PartsData'!E187))),"")</f>
        <v/>
      </c>
      <c r="K187" t="str">
        <f ca="1">IF(J187="","",COUNTIF(ListPembeli,"&lt;="&amp;$J187))</f>
        <v/>
      </c>
      <c r="L187" t="str">
        <f ca="1">IF(K187="","",INDEX(ListPembeli,MATCH(ROWS($K$2:$K187),$K$2:$K$101,0)))</f>
        <v/>
      </c>
      <c r="N187" s="77" t="str">
        <f t="array" aca="1" ref="N187" ca="1">IFERROR(INDEX(DaftarPembeli,SMALL(IF(OrderIDList=$M$2,ROW(DaftarPembeli)-ROW(PartsData!E$2)+1),ROWS(PartsData!E$2:'PartsData'!E187))),"")</f>
        <v/>
      </c>
      <c r="O187" t="str">
        <f ca="1">IF(N187="","",COUNTIF(ListCariPembeli,"&lt;="&amp;$N187))</f>
        <v/>
      </c>
      <c r="P187" t="str">
        <f ca="1">IF(O187="","",INDEX(ListCariPembeli,MATCH(ROWS($O$2:$O187),$O$2:$O$201,0)))</f>
        <v/>
      </c>
      <c r="T187" s="77" t="str">
        <f t="array" aca="1" ref="T187" ca="1">IFERROR(INDEX(DaftarPembeli,SMALL(IF(OrderIDList=$S$2,ROW(DaftarPembeli)-ROW(PartsData!E$2)+1),ROWS(PartsData!E$2:'PartsData'!E187))),"")</f>
        <v/>
      </c>
      <c r="U187" s="77" t="str">
        <f ca="1">IF(T187="","",COUNTIF(ListNamaPembeli,"&lt;="&amp;$T187))</f>
        <v/>
      </c>
      <c r="V187" s="77" t="str">
        <f ca="1">IF(U187="","",INDEX(ListNamaPembeli,MATCH(ROWS($U$2:$U187),$U$2:$U$201,0)))</f>
        <v/>
      </c>
      <c r="Y187" s="77" t="str">
        <f t="array" aca="1" ref="Y187" ca="1">IFERROR(INDEX(RekapPembeli,SMALL(IF(RekapKontak=$X$2,ROW(RekapPembeli)-ROW(DataPemesanan!F$2)+1),ROWS(DataPemesanan!F$2:'DataPemesanan'!F187))),"")</f>
        <v/>
      </c>
      <c r="Z187" s="77" t="str">
        <f ca="1">IF(Y187="","",COUNTIF(DataRekapPembeli,"&lt;="&amp;$Y187))</f>
        <v/>
      </c>
      <c r="AA187" s="77" t="str">
        <f ca="1">IF(Z187="","",INDEX(DataRekapPembeli,MATCH(ROWS($Z$2:$Z187),$Z$2:$Z$201,0)))</f>
        <v/>
      </c>
    </row>
    <row r="188" spans="10:27">
      <c r="J188" t="str">
        <f t="array" aca="1" ref="J188" ca="1">IFERROR(INDEX(DaftarPembeli,SMALL(IF(OrderIDList=$I$2,ROW(DaftarPembeli)-ROW(PartsData!E$2)+1),ROWS(PartsData!E$2:'PartsData'!E188))),"")</f>
        <v/>
      </c>
      <c r="K188" t="str">
        <f ca="1">IF(J188="","",COUNTIF(ListPembeli,"&lt;="&amp;$J188))</f>
        <v/>
      </c>
      <c r="L188" t="str">
        <f ca="1">IF(K188="","",INDEX(ListPembeli,MATCH(ROWS($K$2:$K188),$K$2:$K$101,0)))</f>
        <v/>
      </c>
      <c r="N188" s="77" t="str">
        <f t="array" aca="1" ref="N188" ca="1">IFERROR(INDEX(DaftarPembeli,SMALL(IF(OrderIDList=$M$2,ROW(DaftarPembeli)-ROW(PartsData!E$2)+1),ROWS(PartsData!E$2:'PartsData'!E188))),"")</f>
        <v/>
      </c>
      <c r="O188" t="str">
        <f ca="1">IF(N188="","",COUNTIF(ListCariPembeli,"&lt;="&amp;$N188))</f>
        <v/>
      </c>
      <c r="P188" t="str">
        <f ca="1">IF(O188="","",INDEX(ListCariPembeli,MATCH(ROWS($O$2:$O188),$O$2:$O$201,0)))</f>
        <v/>
      </c>
      <c r="T188" s="77" t="str">
        <f t="array" aca="1" ref="T188" ca="1">IFERROR(INDEX(DaftarPembeli,SMALL(IF(OrderIDList=$S$2,ROW(DaftarPembeli)-ROW(PartsData!E$2)+1),ROWS(PartsData!E$2:'PartsData'!E188))),"")</f>
        <v/>
      </c>
      <c r="U188" s="77" t="str">
        <f ca="1">IF(T188="","",COUNTIF(ListNamaPembeli,"&lt;="&amp;$T188))</f>
        <v/>
      </c>
      <c r="V188" s="77" t="str">
        <f ca="1">IF(U188="","",INDEX(ListNamaPembeli,MATCH(ROWS($U$2:$U188),$U$2:$U$201,0)))</f>
        <v/>
      </c>
      <c r="Y188" s="77" t="str">
        <f t="array" aca="1" ref="Y188" ca="1">IFERROR(INDEX(RekapPembeli,SMALL(IF(RekapKontak=$X$2,ROW(RekapPembeli)-ROW(DataPemesanan!F$2)+1),ROWS(DataPemesanan!F$2:'DataPemesanan'!F188))),"")</f>
        <v/>
      </c>
      <c r="Z188" s="77" t="str">
        <f ca="1">IF(Y188="","",COUNTIF(DataRekapPembeli,"&lt;="&amp;$Y188))</f>
        <v/>
      </c>
      <c r="AA188" s="77" t="str">
        <f ca="1">IF(Z188="","",INDEX(DataRekapPembeli,MATCH(ROWS($Z$2:$Z188),$Z$2:$Z$201,0)))</f>
        <v/>
      </c>
    </row>
    <row r="189" spans="10:27">
      <c r="J189" t="str">
        <f t="array" aca="1" ref="J189" ca="1">IFERROR(INDEX(DaftarPembeli,SMALL(IF(OrderIDList=$I$2,ROW(DaftarPembeli)-ROW(PartsData!E$2)+1),ROWS(PartsData!E$2:'PartsData'!E189))),"")</f>
        <v/>
      </c>
      <c r="K189" t="str">
        <f ca="1">IF(J189="","",COUNTIF(ListPembeli,"&lt;="&amp;$J189))</f>
        <v/>
      </c>
      <c r="L189" t="str">
        <f ca="1">IF(K189="","",INDEX(ListPembeli,MATCH(ROWS($K$2:$K189),$K$2:$K$101,0)))</f>
        <v/>
      </c>
      <c r="N189" s="77" t="str">
        <f t="array" aca="1" ref="N189" ca="1">IFERROR(INDEX(DaftarPembeli,SMALL(IF(OrderIDList=$M$2,ROW(DaftarPembeli)-ROW(PartsData!E$2)+1),ROWS(PartsData!E$2:'PartsData'!E189))),"")</f>
        <v/>
      </c>
      <c r="O189" t="str">
        <f ca="1">IF(N189="","",COUNTIF(ListCariPembeli,"&lt;="&amp;$N189))</f>
        <v/>
      </c>
      <c r="P189" t="str">
        <f ca="1">IF(O189="","",INDEX(ListCariPembeli,MATCH(ROWS($O$2:$O189),$O$2:$O$201,0)))</f>
        <v/>
      </c>
      <c r="T189" s="77" t="str">
        <f t="array" aca="1" ref="T189" ca="1">IFERROR(INDEX(DaftarPembeli,SMALL(IF(OrderIDList=$S$2,ROW(DaftarPembeli)-ROW(PartsData!E$2)+1),ROWS(PartsData!E$2:'PartsData'!E189))),"")</f>
        <v/>
      </c>
      <c r="U189" s="77" t="str">
        <f ca="1">IF(T189="","",COUNTIF(ListNamaPembeli,"&lt;="&amp;$T189))</f>
        <v/>
      </c>
      <c r="V189" s="77" t="str">
        <f ca="1">IF(U189="","",INDEX(ListNamaPembeli,MATCH(ROWS($U$2:$U189),$U$2:$U$201,0)))</f>
        <v/>
      </c>
      <c r="Y189" s="77" t="str">
        <f t="array" aca="1" ref="Y189" ca="1">IFERROR(INDEX(RekapPembeli,SMALL(IF(RekapKontak=$X$2,ROW(RekapPembeli)-ROW(DataPemesanan!F$2)+1),ROWS(DataPemesanan!F$2:'DataPemesanan'!F189))),"")</f>
        <v/>
      </c>
      <c r="Z189" s="77" t="str">
        <f ca="1">IF(Y189="","",COUNTIF(DataRekapPembeli,"&lt;="&amp;$Y189))</f>
        <v/>
      </c>
      <c r="AA189" s="77" t="str">
        <f ca="1">IF(Z189="","",INDEX(DataRekapPembeli,MATCH(ROWS($Z$2:$Z189),$Z$2:$Z$201,0)))</f>
        <v/>
      </c>
    </row>
    <row r="190" spans="10:27">
      <c r="J190" t="str">
        <f t="array" aca="1" ref="J190" ca="1">IFERROR(INDEX(DaftarPembeli,SMALL(IF(OrderIDList=$I$2,ROW(DaftarPembeli)-ROW(PartsData!E$2)+1),ROWS(PartsData!E$2:'PartsData'!E190))),"")</f>
        <v/>
      </c>
      <c r="K190" t="str">
        <f ca="1">IF(J190="","",COUNTIF(ListPembeli,"&lt;="&amp;$J190))</f>
        <v/>
      </c>
      <c r="L190" t="str">
        <f ca="1">IF(K190="","",INDEX(ListPembeli,MATCH(ROWS($K$2:$K190),$K$2:$K$101,0)))</f>
        <v/>
      </c>
      <c r="N190" s="77" t="str">
        <f t="array" aca="1" ref="N190" ca="1">IFERROR(INDEX(DaftarPembeli,SMALL(IF(OrderIDList=$M$2,ROW(DaftarPembeli)-ROW(PartsData!E$2)+1),ROWS(PartsData!E$2:'PartsData'!E190))),"")</f>
        <v/>
      </c>
      <c r="O190" t="str">
        <f ca="1">IF(N190="","",COUNTIF(ListCariPembeli,"&lt;="&amp;$N190))</f>
        <v/>
      </c>
      <c r="P190" t="str">
        <f ca="1">IF(O190="","",INDEX(ListCariPembeli,MATCH(ROWS($O$2:$O190),$O$2:$O$201,0)))</f>
        <v/>
      </c>
      <c r="T190" s="77" t="str">
        <f t="array" aca="1" ref="T190" ca="1">IFERROR(INDEX(DaftarPembeli,SMALL(IF(OrderIDList=$S$2,ROW(DaftarPembeli)-ROW(PartsData!E$2)+1),ROWS(PartsData!E$2:'PartsData'!E190))),"")</f>
        <v/>
      </c>
      <c r="U190" s="77" t="str">
        <f ca="1">IF(T190="","",COUNTIF(ListNamaPembeli,"&lt;="&amp;$T190))</f>
        <v/>
      </c>
      <c r="V190" s="77" t="str">
        <f ca="1">IF(U190="","",INDEX(ListNamaPembeli,MATCH(ROWS($U$2:$U190),$U$2:$U$201,0)))</f>
        <v/>
      </c>
      <c r="Y190" s="77" t="str">
        <f t="array" aca="1" ref="Y190" ca="1">IFERROR(INDEX(RekapPembeli,SMALL(IF(RekapKontak=$X$2,ROW(RekapPembeli)-ROW(DataPemesanan!F$2)+1),ROWS(DataPemesanan!F$2:'DataPemesanan'!F190))),"")</f>
        <v/>
      </c>
      <c r="Z190" s="77" t="str">
        <f ca="1">IF(Y190="","",COUNTIF(DataRekapPembeli,"&lt;="&amp;$Y190))</f>
        <v/>
      </c>
      <c r="AA190" s="77" t="str">
        <f ca="1">IF(Z190="","",INDEX(DataRekapPembeli,MATCH(ROWS($Z$2:$Z190),$Z$2:$Z$201,0)))</f>
        <v/>
      </c>
    </row>
    <row r="191" spans="10:27">
      <c r="J191" t="str">
        <f t="array" aca="1" ref="J191" ca="1">IFERROR(INDEX(DaftarPembeli,SMALL(IF(OrderIDList=$I$2,ROW(DaftarPembeli)-ROW(PartsData!E$2)+1),ROWS(PartsData!E$2:'PartsData'!E191))),"")</f>
        <v/>
      </c>
      <c r="K191" t="str">
        <f ca="1">IF(J191="","",COUNTIF(ListPembeli,"&lt;="&amp;$J191))</f>
        <v/>
      </c>
      <c r="L191" t="str">
        <f ca="1">IF(K191="","",INDEX(ListPembeli,MATCH(ROWS($K$2:$K191),$K$2:$K$101,0)))</f>
        <v/>
      </c>
      <c r="N191" s="77" t="str">
        <f t="array" aca="1" ref="N191" ca="1">IFERROR(INDEX(DaftarPembeli,SMALL(IF(OrderIDList=$M$2,ROW(DaftarPembeli)-ROW(PartsData!E$2)+1),ROWS(PartsData!E$2:'PartsData'!E191))),"")</f>
        <v/>
      </c>
      <c r="O191" t="str">
        <f ca="1">IF(N191="","",COUNTIF(ListCariPembeli,"&lt;="&amp;$N191))</f>
        <v/>
      </c>
      <c r="P191" t="str">
        <f ca="1">IF(O191="","",INDEX(ListCariPembeli,MATCH(ROWS($O$2:$O191),$O$2:$O$201,0)))</f>
        <v/>
      </c>
      <c r="T191" s="77" t="str">
        <f t="array" aca="1" ref="T191" ca="1">IFERROR(INDEX(DaftarPembeli,SMALL(IF(OrderIDList=$S$2,ROW(DaftarPembeli)-ROW(PartsData!E$2)+1),ROWS(PartsData!E$2:'PartsData'!E191))),"")</f>
        <v/>
      </c>
      <c r="U191" s="77" t="str">
        <f ca="1">IF(T191="","",COUNTIF(ListNamaPembeli,"&lt;="&amp;$T191))</f>
        <v/>
      </c>
      <c r="V191" s="77" t="str">
        <f ca="1">IF(U191="","",INDEX(ListNamaPembeli,MATCH(ROWS($U$2:$U191),$U$2:$U$201,0)))</f>
        <v/>
      </c>
      <c r="Y191" s="77" t="str">
        <f t="array" aca="1" ref="Y191" ca="1">IFERROR(INDEX(RekapPembeli,SMALL(IF(RekapKontak=$X$2,ROW(RekapPembeli)-ROW(DataPemesanan!F$2)+1),ROWS(DataPemesanan!F$2:'DataPemesanan'!F191))),"")</f>
        <v/>
      </c>
      <c r="Z191" s="77" t="str">
        <f ca="1">IF(Y191="","",COUNTIF(DataRekapPembeli,"&lt;="&amp;$Y191))</f>
        <v/>
      </c>
      <c r="AA191" s="77" t="str">
        <f ca="1">IF(Z191="","",INDEX(DataRekapPembeli,MATCH(ROWS($Z$2:$Z191),$Z$2:$Z$201,0)))</f>
        <v/>
      </c>
    </row>
    <row r="192" spans="10:27">
      <c r="J192" t="str">
        <f t="array" aca="1" ref="J192" ca="1">IFERROR(INDEX(DaftarPembeli,SMALL(IF(OrderIDList=$I$2,ROW(DaftarPembeli)-ROW(PartsData!E$2)+1),ROWS(PartsData!E$2:'PartsData'!E192))),"")</f>
        <v/>
      </c>
      <c r="K192" t="str">
        <f ca="1">IF(J192="","",COUNTIF(ListPembeli,"&lt;="&amp;$J192))</f>
        <v/>
      </c>
      <c r="L192" t="str">
        <f ca="1">IF(K192="","",INDEX(ListPembeli,MATCH(ROWS($K$2:$K192),$K$2:$K$101,0)))</f>
        <v/>
      </c>
      <c r="N192" s="77" t="str">
        <f t="array" aca="1" ref="N192" ca="1">IFERROR(INDEX(DaftarPembeli,SMALL(IF(OrderIDList=$M$2,ROW(DaftarPembeli)-ROW(PartsData!E$2)+1),ROWS(PartsData!E$2:'PartsData'!E192))),"")</f>
        <v/>
      </c>
      <c r="O192" t="str">
        <f ca="1">IF(N192="","",COUNTIF(ListCariPembeli,"&lt;="&amp;$N192))</f>
        <v/>
      </c>
      <c r="P192" t="str">
        <f ca="1">IF(O192="","",INDEX(ListCariPembeli,MATCH(ROWS($O$2:$O192),$O$2:$O$201,0)))</f>
        <v/>
      </c>
      <c r="T192" s="77" t="str">
        <f t="array" aca="1" ref="T192" ca="1">IFERROR(INDEX(DaftarPembeli,SMALL(IF(OrderIDList=$S$2,ROW(DaftarPembeli)-ROW(PartsData!E$2)+1),ROWS(PartsData!E$2:'PartsData'!E192))),"")</f>
        <v/>
      </c>
      <c r="U192" s="77" t="str">
        <f ca="1">IF(T192="","",COUNTIF(ListNamaPembeli,"&lt;="&amp;$T192))</f>
        <v/>
      </c>
      <c r="V192" s="77" t="str">
        <f ca="1">IF(U192="","",INDEX(ListNamaPembeli,MATCH(ROWS($U$2:$U192),$U$2:$U$201,0)))</f>
        <v/>
      </c>
      <c r="Y192" s="77" t="str">
        <f t="array" aca="1" ref="Y192" ca="1">IFERROR(INDEX(RekapPembeli,SMALL(IF(RekapKontak=$X$2,ROW(RekapPembeli)-ROW(DataPemesanan!F$2)+1),ROWS(DataPemesanan!F$2:'DataPemesanan'!F192))),"")</f>
        <v/>
      </c>
      <c r="Z192" s="77" t="str">
        <f ca="1">IF(Y192="","",COUNTIF(DataRekapPembeli,"&lt;="&amp;$Y192))</f>
        <v/>
      </c>
      <c r="AA192" s="77" t="str">
        <f ca="1">IF(Z192="","",INDEX(DataRekapPembeli,MATCH(ROWS($Z$2:$Z192),$Z$2:$Z$201,0)))</f>
        <v/>
      </c>
    </row>
    <row r="193" spans="10:27">
      <c r="J193" t="str">
        <f t="array" aca="1" ref="J193" ca="1">IFERROR(INDEX(DaftarPembeli,SMALL(IF(OrderIDList=$I$2,ROW(DaftarPembeli)-ROW(PartsData!E$2)+1),ROWS(PartsData!E$2:'PartsData'!E193))),"")</f>
        <v/>
      </c>
      <c r="K193" t="str">
        <f ca="1">IF(J193="","",COUNTIF(ListPembeli,"&lt;="&amp;$J193))</f>
        <v/>
      </c>
      <c r="L193" t="str">
        <f ca="1">IF(K193="","",INDEX(ListPembeli,MATCH(ROWS($K$2:$K193),$K$2:$K$101,0)))</f>
        <v/>
      </c>
      <c r="N193" s="77" t="str">
        <f t="array" aca="1" ref="N193" ca="1">IFERROR(INDEX(DaftarPembeli,SMALL(IF(OrderIDList=$M$2,ROW(DaftarPembeli)-ROW(PartsData!E$2)+1),ROWS(PartsData!E$2:'PartsData'!E193))),"")</f>
        <v/>
      </c>
      <c r="O193" t="str">
        <f ca="1">IF(N193="","",COUNTIF(ListCariPembeli,"&lt;="&amp;$N193))</f>
        <v/>
      </c>
      <c r="P193" t="str">
        <f ca="1">IF(O193="","",INDEX(ListCariPembeli,MATCH(ROWS($O$2:$O193),$O$2:$O$201,0)))</f>
        <v/>
      </c>
      <c r="T193" s="77" t="str">
        <f t="array" aca="1" ref="T193" ca="1">IFERROR(INDEX(DaftarPembeli,SMALL(IF(OrderIDList=$S$2,ROW(DaftarPembeli)-ROW(PartsData!E$2)+1),ROWS(PartsData!E$2:'PartsData'!E193))),"")</f>
        <v/>
      </c>
      <c r="U193" s="77" t="str">
        <f ca="1">IF(T193="","",COUNTIF(ListNamaPembeli,"&lt;="&amp;$T193))</f>
        <v/>
      </c>
      <c r="V193" s="77" t="str">
        <f ca="1">IF(U193="","",INDEX(ListNamaPembeli,MATCH(ROWS($U$2:$U193),$U$2:$U$201,0)))</f>
        <v/>
      </c>
      <c r="Y193" s="77" t="str">
        <f t="array" aca="1" ref="Y193" ca="1">IFERROR(INDEX(RekapPembeli,SMALL(IF(RekapKontak=$X$2,ROW(RekapPembeli)-ROW(DataPemesanan!F$2)+1),ROWS(DataPemesanan!F$2:'DataPemesanan'!F193))),"")</f>
        <v/>
      </c>
      <c r="Z193" s="77" t="str">
        <f ca="1">IF(Y193="","",COUNTIF(DataRekapPembeli,"&lt;="&amp;$Y193))</f>
        <v/>
      </c>
      <c r="AA193" s="77" t="str">
        <f ca="1">IF(Z193="","",INDEX(DataRekapPembeli,MATCH(ROWS($Z$2:$Z193),$Z$2:$Z$201,0)))</f>
        <v/>
      </c>
    </row>
    <row r="194" spans="10:27">
      <c r="J194" t="str">
        <f t="array" aca="1" ref="J194" ca="1">IFERROR(INDEX(DaftarPembeli,SMALL(IF(OrderIDList=$I$2,ROW(DaftarPembeli)-ROW(PartsData!E$2)+1),ROWS(PartsData!E$2:'PartsData'!E194))),"")</f>
        <v/>
      </c>
      <c r="K194" t="str">
        <f ca="1">IF(J194="","",COUNTIF(ListPembeli,"&lt;="&amp;$J194))</f>
        <v/>
      </c>
      <c r="L194" t="str">
        <f ca="1">IF(K194="","",INDEX(ListPembeli,MATCH(ROWS($K$2:$K194),$K$2:$K$101,0)))</f>
        <v/>
      </c>
      <c r="N194" s="77" t="str">
        <f t="array" aca="1" ref="N194" ca="1">IFERROR(INDEX(DaftarPembeli,SMALL(IF(OrderIDList=$M$2,ROW(DaftarPembeli)-ROW(PartsData!E$2)+1),ROWS(PartsData!E$2:'PartsData'!E194))),"")</f>
        <v/>
      </c>
      <c r="O194" t="str">
        <f ca="1">IF(N194="","",COUNTIF(ListCariPembeli,"&lt;="&amp;$N194))</f>
        <v/>
      </c>
      <c r="P194" t="str">
        <f ca="1">IF(O194="","",INDEX(ListCariPembeli,MATCH(ROWS($O$2:$O194),$O$2:$O$201,0)))</f>
        <v/>
      </c>
      <c r="T194" s="77" t="str">
        <f t="array" aca="1" ref="T194" ca="1">IFERROR(INDEX(DaftarPembeli,SMALL(IF(OrderIDList=$S$2,ROW(DaftarPembeli)-ROW(PartsData!E$2)+1),ROWS(PartsData!E$2:'PartsData'!E194))),"")</f>
        <v/>
      </c>
      <c r="U194" s="77" t="str">
        <f ca="1">IF(T194="","",COUNTIF(ListNamaPembeli,"&lt;="&amp;$T194))</f>
        <v/>
      </c>
      <c r="V194" s="77" t="str">
        <f ca="1">IF(U194="","",INDEX(ListNamaPembeli,MATCH(ROWS($U$2:$U194),$U$2:$U$201,0)))</f>
        <v/>
      </c>
      <c r="Y194" s="77" t="str">
        <f t="array" aca="1" ref="Y194" ca="1">IFERROR(INDEX(RekapPembeli,SMALL(IF(RekapKontak=$X$2,ROW(RekapPembeli)-ROW(DataPemesanan!F$2)+1),ROWS(DataPemesanan!F$2:'DataPemesanan'!F194))),"")</f>
        <v/>
      </c>
      <c r="Z194" s="77" t="str">
        <f ca="1">IF(Y194="","",COUNTIF(DataRekapPembeli,"&lt;="&amp;$Y194))</f>
        <v/>
      </c>
      <c r="AA194" s="77" t="str">
        <f ca="1">IF(Z194="","",INDEX(DataRekapPembeli,MATCH(ROWS($Z$2:$Z194),$Z$2:$Z$201,0)))</f>
        <v/>
      </c>
    </row>
    <row r="195" spans="10:27">
      <c r="J195" t="str">
        <f t="array" aca="1" ref="J195" ca="1">IFERROR(INDEX(DaftarPembeli,SMALL(IF(OrderIDList=$I$2,ROW(DaftarPembeli)-ROW(PartsData!E$2)+1),ROWS(PartsData!E$2:'PartsData'!E195))),"")</f>
        <v/>
      </c>
      <c r="K195" t="str">
        <f ca="1">IF(J195="","",COUNTIF(ListPembeli,"&lt;="&amp;$J195))</f>
        <v/>
      </c>
      <c r="L195" t="str">
        <f ca="1">IF(K195="","",INDEX(ListPembeli,MATCH(ROWS($K$2:$K195),$K$2:$K$101,0)))</f>
        <v/>
      </c>
      <c r="N195" s="77" t="str">
        <f t="array" aca="1" ref="N195" ca="1">IFERROR(INDEX(DaftarPembeli,SMALL(IF(OrderIDList=$M$2,ROW(DaftarPembeli)-ROW(PartsData!E$2)+1),ROWS(PartsData!E$2:'PartsData'!E195))),"")</f>
        <v/>
      </c>
      <c r="O195" t="str">
        <f ca="1">IF(N195="","",COUNTIF(ListCariPembeli,"&lt;="&amp;$N195))</f>
        <v/>
      </c>
      <c r="P195" t="str">
        <f ca="1">IF(O195="","",INDEX(ListCariPembeli,MATCH(ROWS($O$2:$O195),$O$2:$O$201,0)))</f>
        <v/>
      </c>
      <c r="T195" s="77" t="str">
        <f t="array" aca="1" ref="T195" ca="1">IFERROR(INDEX(DaftarPembeli,SMALL(IF(OrderIDList=$S$2,ROW(DaftarPembeli)-ROW(PartsData!E$2)+1),ROWS(PartsData!E$2:'PartsData'!E195))),"")</f>
        <v/>
      </c>
      <c r="U195" s="77" t="str">
        <f ca="1">IF(T195="","",COUNTIF(ListNamaPembeli,"&lt;="&amp;$T195))</f>
        <v/>
      </c>
      <c r="V195" s="77" t="str">
        <f ca="1">IF(U195="","",INDEX(ListNamaPembeli,MATCH(ROWS($U$2:$U195),$U$2:$U$201,0)))</f>
        <v/>
      </c>
      <c r="Y195" s="77" t="str">
        <f t="array" aca="1" ref="Y195" ca="1">IFERROR(INDEX(RekapPembeli,SMALL(IF(RekapKontak=$X$2,ROW(RekapPembeli)-ROW(DataPemesanan!F$2)+1),ROWS(DataPemesanan!F$2:'DataPemesanan'!F195))),"")</f>
        <v/>
      </c>
      <c r="Z195" s="77" t="str">
        <f ca="1">IF(Y195="","",COUNTIF(DataRekapPembeli,"&lt;="&amp;$Y195))</f>
        <v/>
      </c>
      <c r="AA195" s="77" t="str">
        <f ca="1">IF(Z195="","",INDEX(DataRekapPembeli,MATCH(ROWS($Z$2:$Z195),$Z$2:$Z$201,0)))</f>
        <v/>
      </c>
    </row>
    <row r="196" spans="10:27">
      <c r="J196" t="str">
        <f t="array" aca="1" ref="J196" ca="1">IFERROR(INDEX(DaftarPembeli,SMALL(IF(OrderIDList=$I$2,ROW(DaftarPembeli)-ROW(PartsData!E$2)+1),ROWS(PartsData!E$2:'PartsData'!E196))),"")</f>
        <v/>
      </c>
      <c r="K196" t="str">
        <f ca="1">IF(J196="","",COUNTIF(ListPembeli,"&lt;="&amp;$J196))</f>
        <v/>
      </c>
      <c r="L196" t="str">
        <f ca="1">IF(K196="","",INDEX(ListPembeli,MATCH(ROWS($K$2:$K196),$K$2:$K$101,0)))</f>
        <v/>
      </c>
      <c r="N196" s="77" t="str">
        <f t="array" aca="1" ref="N196" ca="1">IFERROR(INDEX(DaftarPembeli,SMALL(IF(OrderIDList=$M$2,ROW(DaftarPembeli)-ROW(PartsData!E$2)+1),ROWS(PartsData!E$2:'PartsData'!E196))),"")</f>
        <v/>
      </c>
      <c r="O196" t="str">
        <f ca="1">IF(N196="","",COUNTIF(ListCariPembeli,"&lt;="&amp;$N196))</f>
        <v/>
      </c>
      <c r="P196" t="str">
        <f ca="1">IF(O196="","",INDEX(ListCariPembeli,MATCH(ROWS($O$2:$O196),$O$2:$O$201,0)))</f>
        <v/>
      </c>
      <c r="T196" s="77" t="str">
        <f t="array" aca="1" ref="T196" ca="1">IFERROR(INDEX(DaftarPembeli,SMALL(IF(OrderIDList=$S$2,ROW(DaftarPembeli)-ROW(PartsData!E$2)+1),ROWS(PartsData!E$2:'PartsData'!E196))),"")</f>
        <v/>
      </c>
      <c r="U196" s="77" t="str">
        <f ca="1">IF(T196="","",COUNTIF(ListNamaPembeli,"&lt;="&amp;$T196))</f>
        <v/>
      </c>
      <c r="V196" s="77" t="str">
        <f ca="1">IF(U196="","",INDEX(ListNamaPembeli,MATCH(ROWS($U$2:$U196),$U$2:$U$201,0)))</f>
        <v/>
      </c>
      <c r="Y196" s="77" t="str">
        <f t="array" aca="1" ref="Y196" ca="1">IFERROR(INDEX(RekapPembeli,SMALL(IF(RekapKontak=$X$2,ROW(RekapPembeli)-ROW(DataPemesanan!F$2)+1),ROWS(DataPemesanan!F$2:'DataPemesanan'!F196))),"")</f>
        <v/>
      </c>
      <c r="Z196" s="77" t="str">
        <f ca="1">IF(Y196="","",COUNTIF(DataRekapPembeli,"&lt;="&amp;$Y196))</f>
        <v/>
      </c>
      <c r="AA196" s="77" t="str">
        <f ca="1">IF(Z196="","",INDEX(DataRekapPembeli,MATCH(ROWS($Z$2:$Z196),$Z$2:$Z$201,0)))</f>
        <v/>
      </c>
    </row>
    <row r="197" spans="10:27">
      <c r="J197" t="str">
        <f t="array" aca="1" ref="J197" ca="1">IFERROR(INDEX(DaftarPembeli,SMALL(IF(OrderIDList=$I$2,ROW(DaftarPembeli)-ROW(PartsData!E$2)+1),ROWS(PartsData!E$2:'PartsData'!E197))),"")</f>
        <v/>
      </c>
      <c r="K197" t="str">
        <f ca="1">IF(J197="","",COUNTIF(ListPembeli,"&lt;="&amp;$J197))</f>
        <v/>
      </c>
      <c r="L197" t="str">
        <f ca="1">IF(K197="","",INDEX(ListPembeli,MATCH(ROWS($K$2:$K197),$K$2:$K$101,0)))</f>
        <v/>
      </c>
      <c r="N197" s="77" t="str">
        <f t="array" aca="1" ref="N197" ca="1">IFERROR(INDEX(DaftarPembeli,SMALL(IF(OrderIDList=$M$2,ROW(DaftarPembeli)-ROW(PartsData!E$2)+1),ROWS(PartsData!E$2:'PartsData'!E197))),"")</f>
        <v/>
      </c>
      <c r="O197" t="str">
        <f ca="1">IF(N197="","",COUNTIF(ListCariPembeli,"&lt;="&amp;$N197))</f>
        <v/>
      </c>
      <c r="P197" t="str">
        <f ca="1">IF(O197="","",INDEX(ListCariPembeli,MATCH(ROWS($O$2:$O197),$O$2:$O$201,0)))</f>
        <v/>
      </c>
      <c r="T197" s="77" t="str">
        <f t="array" aca="1" ref="T197" ca="1">IFERROR(INDEX(DaftarPembeli,SMALL(IF(OrderIDList=$S$2,ROW(DaftarPembeli)-ROW(PartsData!E$2)+1),ROWS(PartsData!E$2:'PartsData'!E197))),"")</f>
        <v/>
      </c>
      <c r="U197" s="77" t="str">
        <f ca="1">IF(T197="","",COUNTIF(ListNamaPembeli,"&lt;="&amp;$T197))</f>
        <v/>
      </c>
      <c r="V197" s="77" t="str">
        <f ca="1">IF(U197="","",INDEX(ListNamaPembeli,MATCH(ROWS($U$2:$U197),$U$2:$U$201,0)))</f>
        <v/>
      </c>
      <c r="Y197" s="77" t="str">
        <f t="array" aca="1" ref="Y197" ca="1">IFERROR(INDEX(RekapPembeli,SMALL(IF(RekapKontak=$X$2,ROW(RekapPembeli)-ROW(DataPemesanan!F$2)+1),ROWS(DataPemesanan!F$2:'DataPemesanan'!F197))),"")</f>
        <v/>
      </c>
      <c r="Z197" s="77" t="str">
        <f ca="1">IF(Y197="","",COUNTIF(DataRekapPembeli,"&lt;="&amp;$Y197))</f>
        <v/>
      </c>
      <c r="AA197" s="77" t="str">
        <f ca="1">IF(Z197="","",INDEX(DataRekapPembeli,MATCH(ROWS($Z$2:$Z197),$Z$2:$Z$201,0)))</f>
        <v/>
      </c>
    </row>
    <row r="198" spans="10:27">
      <c r="J198" t="str">
        <f t="array" aca="1" ref="J198" ca="1">IFERROR(INDEX(DaftarPembeli,SMALL(IF(OrderIDList=$I$2,ROW(DaftarPembeli)-ROW(PartsData!E$2)+1),ROWS(PartsData!E$2:'PartsData'!E198))),"")</f>
        <v/>
      </c>
      <c r="K198" t="str">
        <f ca="1">IF(J198="","",COUNTIF(ListPembeli,"&lt;="&amp;$J198))</f>
        <v/>
      </c>
      <c r="L198" t="str">
        <f ca="1">IF(K198="","",INDEX(ListPembeli,MATCH(ROWS($K$2:$K198),$K$2:$K$101,0)))</f>
        <v/>
      </c>
      <c r="N198" s="77" t="str">
        <f t="array" aca="1" ref="N198" ca="1">IFERROR(INDEX(DaftarPembeli,SMALL(IF(OrderIDList=$M$2,ROW(DaftarPembeli)-ROW(PartsData!E$2)+1),ROWS(PartsData!E$2:'PartsData'!E198))),"")</f>
        <v/>
      </c>
      <c r="O198" t="str">
        <f ca="1">IF(N198="","",COUNTIF(ListCariPembeli,"&lt;="&amp;$N198))</f>
        <v/>
      </c>
      <c r="P198" t="str">
        <f ca="1">IF(O198="","",INDEX(ListCariPembeli,MATCH(ROWS($O$2:$O198),$O$2:$O$201,0)))</f>
        <v/>
      </c>
      <c r="T198" s="77" t="str">
        <f t="array" aca="1" ref="T198" ca="1">IFERROR(INDEX(DaftarPembeli,SMALL(IF(OrderIDList=$S$2,ROW(DaftarPembeli)-ROW(PartsData!E$2)+1),ROWS(PartsData!E$2:'PartsData'!E198))),"")</f>
        <v/>
      </c>
      <c r="U198" s="77" t="str">
        <f ca="1">IF(T198="","",COUNTIF(ListNamaPembeli,"&lt;="&amp;$T198))</f>
        <v/>
      </c>
      <c r="V198" s="77" t="str">
        <f ca="1">IF(U198="","",INDEX(ListNamaPembeli,MATCH(ROWS($U$2:$U198),$U$2:$U$201,0)))</f>
        <v/>
      </c>
      <c r="Y198" s="77" t="str">
        <f t="array" aca="1" ref="Y198" ca="1">IFERROR(INDEX(RekapPembeli,SMALL(IF(RekapKontak=$X$2,ROW(RekapPembeli)-ROW(DataPemesanan!F$2)+1),ROWS(DataPemesanan!F$2:'DataPemesanan'!F198))),"")</f>
        <v/>
      </c>
      <c r="Z198" s="77" t="str">
        <f ca="1">IF(Y198="","",COUNTIF(DataRekapPembeli,"&lt;="&amp;$Y198))</f>
        <v/>
      </c>
      <c r="AA198" s="77" t="str">
        <f ca="1">IF(Z198="","",INDEX(DataRekapPembeli,MATCH(ROWS($Z$2:$Z198),$Z$2:$Z$201,0)))</f>
        <v/>
      </c>
    </row>
    <row r="199" spans="10:27">
      <c r="J199" t="str">
        <f t="array" aca="1" ref="J199" ca="1">IFERROR(INDEX(DaftarPembeli,SMALL(IF(OrderIDList=$I$2,ROW(DaftarPembeli)-ROW(PartsData!E$2)+1),ROWS(PartsData!E$2:'PartsData'!E199))),"")</f>
        <v/>
      </c>
      <c r="K199" t="str">
        <f ca="1">IF(J199="","",COUNTIF(ListPembeli,"&lt;="&amp;$J199))</f>
        <v/>
      </c>
      <c r="L199" t="str">
        <f ca="1">IF(K199="","",INDEX(ListPembeli,MATCH(ROWS($K$2:$K199),$K$2:$K$101,0)))</f>
        <v/>
      </c>
      <c r="N199" s="77" t="str">
        <f t="array" aca="1" ref="N199" ca="1">IFERROR(INDEX(DaftarPembeli,SMALL(IF(OrderIDList=$M$2,ROW(DaftarPembeli)-ROW(PartsData!E$2)+1),ROWS(PartsData!E$2:'PartsData'!E199))),"")</f>
        <v/>
      </c>
      <c r="O199" t="str">
        <f ca="1">IF(N199="","",COUNTIF(ListCariPembeli,"&lt;="&amp;$N199))</f>
        <v/>
      </c>
      <c r="P199" t="str">
        <f ca="1">IF(O199="","",INDEX(ListCariPembeli,MATCH(ROWS($O$2:$O199),$O$2:$O$201,0)))</f>
        <v/>
      </c>
      <c r="T199" s="77" t="str">
        <f t="array" aca="1" ref="T199" ca="1">IFERROR(INDEX(DaftarPembeli,SMALL(IF(OrderIDList=$S$2,ROW(DaftarPembeli)-ROW(PartsData!E$2)+1),ROWS(PartsData!E$2:'PartsData'!E199))),"")</f>
        <v/>
      </c>
      <c r="U199" s="77" t="str">
        <f ca="1">IF(T199="","",COUNTIF(ListNamaPembeli,"&lt;="&amp;$T199))</f>
        <v/>
      </c>
      <c r="V199" s="77" t="str">
        <f ca="1">IF(U199="","",INDEX(ListNamaPembeli,MATCH(ROWS($U$2:$U199),$U$2:$U$201,0)))</f>
        <v/>
      </c>
      <c r="Y199" s="77" t="str">
        <f t="array" aca="1" ref="Y199" ca="1">IFERROR(INDEX(RekapPembeli,SMALL(IF(RekapKontak=$X$2,ROW(RekapPembeli)-ROW(DataPemesanan!F$2)+1),ROWS(DataPemesanan!F$2:'DataPemesanan'!F199))),"")</f>
        <v/>
      </c>
      <c r="Z199" s="77" t="str">
        <f ca="1">IF(Y199="","",COUNTIF(DataRekapPembeli,"&lt;="&amp;$Y199))</f>
        <v/>
      </c>
      <c r="AA199" s="77" t="str">
        <f ca="1">IF(Z199="","",INDEX(DataRekapPembeli,MATCH(ROWS($Z$2:$Z199),$Z$2:$Z$201,0)))</f>
        <v/>
      </c>
    </row>
    <row r="200" spans="10:27">
      <c r="J200" t="str">
        <f t="array" aca="1" ref="J200" ca="1">IFERROR(INDEX(DaftarPembeli,SMALL(IF(OrderIDList=$I$2,ROW(DaftarPembeli)-ROW(PartsData!E$2)+1),ROWS(PartsData!E$2:'PartsData'!E200))),"")</f>
        <v/>
      </c>
      <c r="K200" t="str">
        <f ca="1">IF(J200="","",COUNTIF(ListPembeli,"&lt;="&amp;$J200))</f>
        <v/>
      </c>
      <c r="L200" t="str">
        <f ca="1">IF(K200="","",INDEX(ListPembeli,MATCH(ROWS($K$2:$K200),$K$2:$K$101,0)))</f>
        <v/>
      </c>
      <c r="N200" s="77" t="str">
        <f t="array" aca="1" ref="N200" ca="1">IFERROR(INDEX(DaftarPembeli,SMALL(IF(OrderIDList=$M$2,ROW(DaftarPembeli)-ROW(PartsData!E$2)+1),ROWS(PartsData!E$2:'PartsData'!E200))),"")</f>
        <v/>
      </c>
      <c r="O200" t="str">
        <f ca="1">IF(N200="","",COUNTIF(ListCariPembeli,"&lt;="&amp;$N200))</f>
        <v/>
      </c>
      <c r="P200" t="str">
        <f ca="1">IF(O200="","",INDEX(ListCariPembeli,MATCH(ROWS($O$2:$O200),$O$2:$O$201,0)))</f>
        <v/>
      </c>
      <c r="T200" s="77" t="str">
        <f t="array" aca="1" ref="T200" ca="1">IFERROR(INDEX(DaftarPembeli,SMALL(IF(OrderIDList=$S$2,ROW(DaftarPembeli)-ROW(PartsData!E$2)+1),ROWS(PartsData!E$2:'PartsData'!E200))),"")</f>
        <v/>
      </c>
      <c r="U200" s="77" t="str">
        <f ca="1">IF(T200="","",COUNTIF(ListNamaPembeli,"&lt;="&amp;$T200))</f>
        <v/>
      </c>
      <c r="V200" s="77" t="str">
        <f ca="1">IF(U200="","",INDEX(ListNamaPembeli,MATCH(ROWS($U$2:$U200),$U$2:$U$201,0)))</f>
        <v/>
      </c>
      <c r="Y200" s="77" t="str">
        <f t="array" aca="1" ref="Y200" ca="1">IFERROR(INDEX(RekapPembeli,SMALL(IF(RekapKontak=$X$2,ROW(RekapPembeli)-ROW(DataPemesanan!F$2)+1),ROWS(DataPemesanan!F$2:'DataPemesanan'!F200))),"")</f>
        <v/>
      </c>
      <c r="Z200" s="77" t="str">
        <f ca="1">IF(Y200="","",COUNTIF(DataRekapPembeli,"&lt;="&amp;$Y200))</f>
        <v/>
      </c>
      <c r="AA200" s="77" t="str">
        <f ca="1">IF(Z200="","",INDEX(DataRekapPembeli,MATCH(ROWS($Z$2:$Z200),$Z$2:$Z$201,0)))</f>
        <v/>
      </c>
    </row>
    <row r="201" spans="10:27">
      <c r="J201" t="str">
        <f t="array" aca="1" ref="J201" ca="1">IFERROR(INDEX(DaftarPembeli,SMALL(IF(OrderIDList=$I$2,ROW(DaftarPembeli)-ROW(PartsData!E$2)+1),ROWS(PartsData!E$2:'PartsData'!E201))),"")</f>
        <v/>
      </c>
      <c r="K201" t="str">
        <f ca="1">IF(J201="","",COUNTIF(ListPembeli,"&lt;="&amp;$J201))</f>
        <v/>
      </c>
      <c r="L201" t="str">
        <f ca="1">IF(K201="","",INDEX(ListPembeli,MATCH(ROWS($K$2:$K201),$K$2:$K$101,0)))</f>
        <v/>
      </c>
      <c r="N201" s="126" t="str">
        <f t="array" aca="1" ref="N201" ca="1">IFERROR(INDEX(DaftarPembeli,SMALL(IF(OrderIDList=$M$2,ROW(DaftarPembeli)-ROW(PartsData!E$2)+1),ROWS(PartsData!E$2:'PartsData'!E201))),"")</f>
        <v/>
      </c>
      <c r="O201" t="str">
        <f ca="1">IF(N201="","",COUNTIF(ListCariPembeli,"&lt;="&amp;$N201))</f>
        <v/>
      </c>
      <c r="P201" t="str">
        <f ca="1">IF(O201="","",INDEX(ListCariPembeli,MATCH(ROWS($O$2:$O201),$O$2:$O$201,0)))</f>
        <v/>
      </c>
      <c r="T201" s="77" t="str">
        <f t="array" aca="1" ref="T201" ca="1">IFERROR(INDEX(DaftarPembeli,SMALL(IF(OrderIDList=$S$2,ROW(DaftarPembeli)-ROW(PartsData!E$2)+1),ROWS(PartsData!E$2:'PartsData'!E201))),"")</f>
        <v/>
      </c>
      <c r="U201" s="77" t="str">
        <f ca="1">IF(T201="","",COUNTIF(ListNamaPembeli,"&lt;="&amp;$T201))</f>
        <v/>
      </c>
      <c r="V201" s="77" t="str">
        <f ca="1">IF(U201="","",INDEX(ListNamaPembeli,MATCH(ROWS($U$2:$U201),$U$2:$U$201,0)))</f>
        <v/>
      </c>
      <c r="Y201" s="77" t="str">
        <f t="array" aca="1" ref="Y201" ca="1">IFERROR(INDEX(RekapPembeli,SMALL(IF(RekapKontak=$X$2,ROW(RekapPembeli)-ROW(DataPemesanan!F$2)+1),ROWS(DataPemesanan!F$2:'DataPemesanan'!F201))),"")</f>
        <v/>
      </c>
      <c r="Z201" s="77" t="str">
        <f ca="1">IF(Y201="","",COUNTIF(DataRekapPembeli,"&lt;="&amp;$Y201))</f>
        <v/>
      </c>
      <c r="AA201" s="77" t="str">
        <f ca="1">IF(Z201="","",INDEX(DataRekapPembeli,MATCH(ROWS($Z$2:$Z201),$Z$2:$Z$201,0)))</f>
        <v/>
      </c>
    </row>
  </sheetData>
  <conditionalFormatting sqref="A1:B1048576">
    <cfRule type="notContainsBlanks" dxfId="10" priority="1">
      <formula>LEN(TRIM(A1))&gt;0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wksPartsDataEntry">
    <pageSetUpPr autoPageBreaks="0"/>
  </sheetPr>
  <dimension ref="B1:S17"/>
  <sheetViews>
    <sheetView showGridLines="0" topLeftCell="A4" workbookViewId="0">
      <selection activeCell="D10" sqref="D10"/>
    </sheetView>
  </sheetViews>
  <sheetFormatPr defaultColWidth="9.140625" defaultRowHeight="15.75"/>
  <cols>
    <col min="1" max="1" width="1.7109375" style="1" customWidth="1"/>
    <col min="2" max="2" width="33.5703125" style="1" customWidth="1"/>
    <col min="3" max="3" width="0.85546875" style="1" customWidth="1"/>
    <col min="4" max="4" width="40.140625" style="26" bestFit="1" customWidth="1"/>
    <col min="5" max="6" width="4.140625" style="1" hidden="1" customWidth="1"/>
    <col min="7" max="7" width="1.7109375" style="1" customWidth="1"/>
    <col min="8" max="8" width="9.140625" style="1"/>
    <col min="9" max="9" width="1.28515625" style="1" customWidth="1"/>
    <col min="10" max="10" width="28.85546875" style="1" customWidth="1"/>
    <col min="11" max="11" width="30.28515625" style="1" bestFit="1" customWidth="1"/>
    <col min="12" max="12" width="6.7109375" style="1" customWidth="1"/>
    <col min="13" max="13" width="3.85546875" style="9" bestFit="1" customWidth="1"/>
    <col min="14" max="17" width="9.140625" style="1"/>
    <col min="18" max="19" width="9.140625" style="1" hidden="1" customWidth="1"/>
    <col min="20" max="16384" width="9.140625" style="1"/>
  </cols>
  <sheetData>
    <row r="1" spans="2:19" ht="18" customHeight="1">
      <c r="D1" s="42"/>
      <c r="E1" s="13" t="s">
        <v>3</v>
      </c>
      <c r="F1" s="13" t="s">
        <v>3</v>
      </c>
      <c r="K1" s="56"/>
      <c r="L1" s="56"/>
    </row>
    <row r="2" spans="2:19" ht="51.75">
      <c r="D2" s="43" t="s">
        <v>60</v>
      </c>
      <c r="E2" s="5"/>
      <c r="F2" s="5"/>
      <c r="J2" s="3"/>
      <c r="K2" s="57"/>
      <c r="L2" s="57"/>
    </row>
    <row r="3" spans="2:19" ht="30" customHeight="1">
      <c r="B3" s="4"/>
      <c r="J3" s="55"/>
      <c r="K3" s="2"/>
      <c r="L3" s="2"/>
    </row>
    <row r="4" spans="2:19" ht="18" customHeight="1" thickBot="1">
      <c r="B4" s="109" t="s">
        <v>23</v>
      </c>
      <c r="C4" s="116"/>
      <c r="D4" s="117"/>
      <c r="E4" s="6" t="s">
        <v>1</v>
      </c>
      <c r="F4" s="7" t="s">
        <v>2</v>
      </c>
      <c r="J4" s="59" t="s">
        <v>62</v>
      </c>
      <c r="K4" s="14"/>
      <c r="L4" s="14"/>
    </row>
    <row r="5" spans="2:19" ht="18" customHeight="1" thickTop="1" thickBot="1">
      <c r="B5" s="110" t="s">
        <v>22</v>
      </c>
      <c r="C5" s="113"/>
      <c r="D5" s="97"/>
      <c r="E5" s="33" t="s">
        <v>0</v>
      </c>
      <c r="F5" s="8">
        <f>IF(E5="","",IF(D5="",1,""))</f>
        <v>1</v>
      </c>
      <c r="G5"/>
      <c r="H5" s="3"/>
      <c r="I5" s="15"/>
      <c r="J5" s="115" t="s">
        <v>18</v>
      </c>
      <c r="K5" s="35" t="s">
        <v>22</v>
      </c>
      <c r="L5" s="2"/>
      <c r="N5" s="61"/>
      <c r="O5" s="62"/>
      <c r="P5" s="61"/>
      <c r="R5" s="1" t="b">
        <f ca="1">IF(COUNTIFS(OrderIDList,OrderSel,DaftarPembeli,IDPembeli)&gt;0,TRUE,FALSE)</f>
        <v>0</v>
      </c>
      <c r="S5" s="1" t="e">
        <f t="array" aca="1" ref="S5" ca="1">MATCH(OrderSel&amp;PilihPembeli,OrderIDList&amp;DaftarPembeli,0)</f>
        <v>#N/A</v>
      </c>
    </row>
    <row r="6" spans="2:19" ht="18" customHeight="1" thickTop="1" thickBot="1">
      <c r="B6" s="110" t="s">
        <v>24</v>
      </c>
      <c r="C6" s="113"/>
      <c r="D6" s="98"/>
      <c r="E6" s="33" t="s">
        <v>0</v>
      </c>
      <c r="F6" s="8">
        <f>IF(E6="","",IF(D6="",1,""))</f>
        <v>1</v>
      </c>
      <c r="H6" s="3"/>
      <c r="I6" s="15"/>
      <c r="J6" s="115"/>
      <c r="K6" s="35" t="s">
        <v>25</v>
      </c>
      <c r="L6" s="2"/>
      <c r="N6" s="60"/>
      <c r="O6" s="2"/>
      <c r="P6" s="63"/>
      <c r="R6" s="1">
        <f>COUNTA(PartsData!A:A)-1</f>
        <v>35</v>
      </c>
      <c r="S6" s="1">
        <v>0</v>
      </c>
    </row>
    <row r="7" spans="2:19" ht="18" customHeight="1" thickTop="1">
      <c r="B7" s="110" t="s">
        <v>25</v>
      </c>
      <c r="C7" s="113"/>
      <c r="D7" s="99"/>
      <c r="E7" s="33"/>
      <c r="F7" s="8" t="str">
        <f>IF(E7="","",IF(D7="",1,""))</f>
        <v/>
      </c>
      <c r="H7" s="3"/>
      <c r="I7" s="15"/>
      <c r="J7" s="34"/>
      <c r="K7" s="2"/>
      <c r="L7" s="2"/>
      <c r="N7" s="61"/>
      <c r="O7" s="61"/>
      <c r="P7" s="61"/>
    </row>
    <row r="8" spans="2:19" ht="18" customHeight="1">
      <c r="B8" s="110" t="s">
        <v>26</v>
      </c>
      <c r="C8" s="113"/>
      <c r="D8" s="100"/>
      <c r="E8" s="33" t="s">
        <v>0</v>
      </c>
      <c r="F8" s="8">
        <f>IF(E8="","",IF(D8="",1,""))</f>
        <v>1</v>
      </c>
    </row>
    <row r="9" spans="2:19" ht="18" customHeight="1">
      <c r="B9" s="111" t="s">
        <v>27</v>
      </c>
      <c r="C9" s="113"/>
      <c r="D9" s="101"/>
      <c r="K9" s="9"/>
    </row>
    <row r="10" spans="2:19" ht="57" customHeight="1">
      <c r="B10" s="112" t="s">
        <v>28</v>
      </c>
      <c r="C10" s="113"/>
      <c r="D10" s="102"/>
    </row>
    <row r="11" spans="2:19" ht="18" customHeight="1">
      <c r="B11" s="110" t="s">
        <v>29</v>
      </c>
      <c r="C11" s="114"/>
      <c r="D11" s="103"/>
    </row>
    <row r="12" spans="2:19" ht="18" customHeight="1">
      <c r="B12" s="110" t="s">
        <v>30</v>
      </c>
      <c r="C12" s="114"/>
      <c r="D12" s="104"/>
    </row>
    <row r="13" spans="2:19" ht="18" customHeight="1">
      <c r="B13" s="110" t="s">
        <v>31</v>
      </c>
      <c r="C13" s="114"/>
      <c r="D13" s="105"/>
    </row>
    <row r="14" spans="2:19" ht="18" customHeight="1">
      <c r="B14" s="110" t="s">
        <v>32</v>
      </c>
      <c r="C14" s="114"/>
      <c r="D14" s="106"/>
    </row>
    <row r="15" spans="2:19" ht="18" customHeight="1">
      <c r="B15" s="110" t="s">
        <v>33</v>
      </c>
      <c r="C15" s="114"/>
      <c r="D15" s="107"/>
    </row>
    <row r="16" spans="2:19" ht="18" customHeight="1">
      <c r="B16" s="110" t="s">
        <v>34</v>
      </c>
      <c r="C16" s="114"/>
      <c r="D16" s="108"/>
    </row>
    <row r="17" spans="17:17" ht="19.149999999999999" customHeight="1">
      <c r="Q17" s="58"/>
    </row>
  </sheetData>
  <phoneticPr fontId="3" type="noConversion"/>
  <dataValidations count="8">
    <dataValidation type="whole" allowBlank="1" showInputMessage="1" showErrorMessage="1" error="Enter a number between 1 and the total number of records." sqref="N6">
      <formula1>1</formula1>
      <formula2>P6</formula2>
    </dataValidation>
    <dataValidation type="list" allowBlank="1" showInputMessage="1" showErrorMessage="1" sqref="D8">
      <formula1>JK</formula1>
    </dataValidation>
    <dataValidation allowBlank="1" showInputMessage="1" showErrorMessage="1" sqref="D7"/>
    <dataValidation type="list" operator="greaterThanOrEqual" allowBlank="1" showInputMessage="1" showErrorMessage="1" sqref="D5">
      <formula1>DaftarKontak</formula1>
    </dataValidation>
    <dataValidation type="list" allowBlank="1" showInputMessage="1" showErrorMessage="1" sqref="D16">
      <formula1>Status</formula1>
    </dataValidation>
    <dataValidation type="list" allowBlank="1" showInputMessage="1" showErrorMessage="1" sqref="J5">
      <formula1>DaftarKontak</formula1>
    </dataValidation>
    <dataValidation type="list" allowBlank="1" showInputMessage="1" showErrorMessage="1" sqref="D6">
      <formula1>HP</formula1>
    </dataValidation>
    <dataValidation type="list" allowBlank="1" showInputMessage="1" showErrorMessage="1" sqref="J6">
      <formula1>NamaPembeli</formula1>
    </dataValidation>
  </dataValidations>
  <pageMargins left="0.75" right="0.75" top="1" bottom="1" header="0.5" footer="0.5"/>
  <pageSetup orientation="portrait" r:id="rId1"/>
  <headerFooter alignWithMargins="0">
    <oddFooter>&amp;LDeveloped by Contextures Inc.&amp;Cwww.contextures.com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wksPartsData"/>
  <dimension ref="A1:N36"/>
  <sheetViews>
    <sheetView showGridLines="0" topLeftCell="B2" workbookViewId="0">
      <selection activeCell="A2" sqref="A2:N36"/>
    </sheetView>
  </sheetViews>
  <sheetFormatPr defaultRowHeight="15"/>
  <cols>
    <col min="1" max="1" width="20.85546875" style="28" customWidth="1"/>
    <col min="2" max="2" width="7" style="28" bestFit="1" customWidth="1"/>
    <col min="3" max="3" width="30.5703125" style="29" customWidth="1"/>
    <col min="4" max="4" width="14.85546875" style="30" bestFit="1" customWidth="1"/>
    <col min="5" max="5" width="29.42578125" style="28" bestFit="1" customWidth="1"/>
    <col min="6" max="6" width="14" style="28" customWidth="1"/>
    <col min="7" max="7" width="23.5703125" style="31" bestFit="1" customWidth="1"/>
    <col min="8" max="8" width="42.85546875" style="32" bestFit="1" customWidth="1"/>
    <col min="9" max="9" width="21.85546875" style="30" customWidth="1"/>
    <col min="10" max="10" width="17.5703125" style="30" customWidth="1"/>
    <col min="11" max="11" width="40.140625" style="28" bestFit="1" customWidth="1"/>
    <col min="12" max="12" width="22.42578125" style="65" bestFit="1" customWidth="1"/>
    <col min="13" max="13" width="19.85546875" style="31" bestFit="1" customWidth="1"/>
    <col min="14" max="14" width="15.42578125" style="28" customWidth="1"/>
    <col min="15" max="16384" width="9.140625" style="28"/>
  </cols>
  <sheetData>
    <row r="1" spans="1:14" s="22" customFormat="1" ht="27">
      <c r="A1" s="36" t="s">
        <v>54</v>
      </c>
      <c r="B1" s="36" t="s">
        <v>53</v>
      </c>
      <c r="C1" s="37" t="s">
        <v>22</v>
      </c>
      <c r="D1" s="38" t="s">
        <v>24</v>
      </c>
      <c r="E1" s="39" t="s">
        <v>25</v>
      </c>
      <c r="F1" s="39" t="s">
        <v>26</v>
      </c>
      <c r="G1" s="40" t="s">
        <v>27</v>
      </c>
      <c r="H1" s="37" t="s">
        <v>28</v>
      </c>
      <c r="I1" s="38" t="s">
        <v>29</v>
      </c>
      <c r="J1" s="38" t="s">
        <v>30</v>
      </c>
      <c r="K1" s="39" t="s">
        <v>31</v>
      </c>
      <c r="L1" s="39" t="s">
        <v>32</v>
      </c>
      <c r="M1" s="41" t="s">
        <v>33</v>
      </c>
      <c r="N1" s="39" t="s">
        <v>34</v>
      </c>
    </row>
    <row r="2" spans="1:14" ht="13.5">
      <c r="A2" s="27">
        <v>43126.997928240744</v>
      </c>
      <c r="B2" s="28" t="s">
        <v>44</v>
      </c>
      <c r="C2" s="29" t="s">
        <v>18</v>
      </c>
      <c r="D2" s="30">
        <v>81322260653</v>
      </c>
      <c r="E2" s="28" t="s">
        <v>61</v>
      </c>
      <c r="F2" s="28" t="s">
        <v>45</v>
      </c>
      <c r="G2" s="31">
        <v>27475</v>
      </c>
      <c r="H2" s="32" t="s">
        <v>46</v>
      </c>
      <c r="I2" s="30">
        <v>81322622881</v>
      </c>
      <c r="J2" s="30">
        <v>8112311523</v>
      </c>
      <c r="K2" s="66" t="s">
        <v>57</v>
      </c>
      <c r="L2" s="66" t="s">
        <v>56</v>
      </c>
      <c r="M2" s="31">
        <v>43132</v>
      </c>
      <c r="N2" s="28" t="s">
        <v>43</v>
      </c>
    </row>
    <row r="3" spans="1:14" ht="27">
      <c r="A3" s="27">
        <v>43126.999548611115</v>
      </c>
      <c r="B3" s="28" t="s">
        <v>44</v>
      </c>
      <c r="C3" s="29" t="s">
        <v>18</v>
      </c>
      <c r="D3" s="30">
        <v>81322260653</v>
      </c>
      <c r="E3" s="28" t="s">
        <v>48</v>
      </c>
      <c r="F3" s="28" t="s">
        <v>35</v>
      </c>
      <c r="G3" s="31">
        <v>22640</v>
      </c>
      <c r="H3" s="32" t="s">
        <v>55</v>
      </c>
      <c r="I3" s="30">
        <v>81212228690</v>
      </c>
      <c r="J3" s="30">
        <v>85861113838</v>
      </c>
      <c r="K3" s="66" t="s">
        <v>59</v>
      </c>
      <c r="L3" s="28">
        <v>0</v>
      </c>
      <c r="M3" s="31">
        <v>43104</v>
      </c>
      <c r="N3" s="28" t="s">
        <v>43</v>
      </c>
    </row>
    <row r="4" spans="1:14" ht="13.5">
      <c r="A4" s="27">
        <v>43129.0078125</v>
      </c>
      <c r="B4" s="28" t="s">
        <v>44</v>
      </c>
      <c r="C4" s="29" t="s">
        <v>18</v>
      </c>
      <c r="D4" s="30">
        <v>81322260653</v>
      </c>
      <c r="E4" s="28" t="s">
        <v>63</v>
      </c>
      <c r="F4" s="28" t="s">
        <v>35</v>
      </c>
      <c r="G4" s="31">
        <v>43328</v>
      </c>
      <c r="H4" s="32" t="s">
        <v>65</v>
      </c>
      <c r="I4" s="30">
        <v>81220096778</v>
      </c>
      <c r="J4" s="30">
        <v>81220096778</v>
      </c>
      <c r="K4" s="66" t="s">
        <v>64</v>
      </c>
      <c r="L4" s="28">
        <v>0</v>
      </c>
      <c r="M4" s="31">
        <v>43104</v>
      </c>
      <c r="N4" s="28" t="s">
        <v>43</v>
      </c>
    </row>
    <row r="5" spans="1:14" ht="13.5">
      <c r="A5" s="27">
        <v>43129.007233796299</v>
      </c>
      <c r="B5" s="28" t="s">
        <v>44</v>
      </c>
      <c r="C5" s="29" t="s">
        <v>18</v>
      </c>
      <c r="D5" s="30">
        <v>81322260653</v>
      </c>
      <c r="E5" s="28" t="s">
        <v>66</v>
      </c>
      <c r="F5" s="28" t="s">
        <v>35</v>
      </c>
      <c r="G5" s="31">
        <v>0</v>
      </c>
      <c r="H5" s="32" t="s">
        <v>67</v>
      </c>
      <c r="I5" s="30">
        <v>8132122182</v>
      </c>
      <c r="J5" s="30">
        <v>8179289010</v>
      </c>
      <c r="K5" s="66" t="s">
        <v>68</v>
      </c>
      <c r="L5" s="28">
        <v>0</v>
      </c>
      <c r="M5" s="31">
        <v>43118</v>
      </c>
      <c r="N5" s="28" t="s">
        <v>43</v>
      </c>
    </row>
    <row r="6" spans="1:14" ht="13.5">
      <c r="A6" s="27">
        <v>43129.014606481483</v>
      </c>
      <c r="B6" s="28" t="s">
        <v>44</v>
      </c>
      <c r="C6" s="29" t="s">
        <v>18</v>
      </c>
      <c r="D6" s="30">
        <v>81322260653</v>
      </c>
      <c r="E6" s="28" t="s">
        <v>69</v>
      </c>
      <c r="F6" s="28" t="s">
        <v>35</v>
      </c>
      <c r="G6" s="64">
        <v>25838</v>
      </c>
      <c r="H6" s="32" t="s">
        <v>70</v>
      </c>
      <c r="I6" s="30">
        <v>8122397450</v>
      </c>
      <c r="J6" s="30">
        <v>8122397450</v>
      </c>
      <c r="K6" s="66" t="s">
        <v>71</v>
      </c>
      <c r="L6" s="28">
        <v>0</v>
      </c>
      <c r="M6" s="31">
        <v>43104</v>
      </c>
      <c r="N6" s="28" t="s">
        <v>43</v>
      </c>
    </row>
    <row r="7" spans="1:14">
      <c r="A7" s="27">
        <v>43134.721377314818</v>
      </c>
      <c r="B7" s="28" t="s">
        <v>44</v>
      </c>
      <c r="C7" s="29" t="s">
        <v>18</v>
      </c>
      <c r="D7" s="30">
        <v>81322260653</v>
      </c>
      <c r="E7" s="28" t="s">
        <v>84</v>
      </c>
      <c r="F7" s="28" t="s">
        <v>35</v>
      </c>
      <c r="G7" s="31">
        <v>0</v>
      </c>
      <c r="H7" s="32" t="s">
        <v>85</v>
      </c>
      <c r="I7" s="30">
        <v>81283224484</v>
      </c>
      <c r="J7" s="30">
        <v>81283224484</v>
      </c>
      <c r="K7" s="28">
        <v>0</v>
      </c>
      <c r="L7" s="65">
        <v>0</v>
      </c>
      <c r="M7" s="31">
        <v>42767</v>
      </c>
      <c r="N7" s="28" t="s">
        <v>43</v>
      </c>
    </row>
    <row r="8" spans="1:14" ht="27">
      <c r="A8" s="27">
        <v>43134.725416666668</v>
      </c>
      <c r="B8" s="28" t="s">
        <v>44</v>
      </c>
      <c r="C8" s="29" t="s">
        <v>18</v>
      </c>
      <c r="D8" s="30">
        <v>81322260653</v>
      </c>
      <c r="E8" s="28" t="s">
        <v>86</v>
      </c>
      <c r="F8" s="28" t="s">
        <v>35</v>
      </c>
      <c r="G8" s="31">
        <v>0</v>
      </c>
      <c r="H8" s="32" t="s">
        <v>87</v>
      </c>
      <c r="I8" s="30">
        <v>0</v>
      </c>
      <c r="J8" s="30">
        <v>85213545977</v>
      </c>
      <c r="K8" s="28">
        <v>0</v>
      </c>
      <c r="L8" s="65">
        <v>0</v>
      </c>
      <c r="M8" s="31">
        <v>43125</v>
      </c>
      <c r="N8" s="28" t="s">
        <v>43</v>
      </c>
    </row>
    <row r="9" spans="1:14" ht="27">
      <c r="A9" s="27">
        <v>43134.728900462964</v>
      </c>
      <c r="B9" s="28" t="s">
        <v>44</v>
      </c>
      <c r="C9" s="29" t="s">
        <v>18</v>
      </c>
      <c r="D9" s="30">
        <v>81322260653</v>
      </c>
      <c r="E9" s="28" t="s">
        <v>88</v>
      </c>
      <c r="F9" s="28" t="s">
        <v>35</v>
      </c>
      <c r="G9" s="31">
        <v>0</v>
      </c>
      <c r="H9" s="32" t="s">
        <v>89</v>
      </c>
      <c r="I9" s="30">
        <v>0</v>
      </c>
      <c r="J9" s="30">
        <v>85795673555</v>
      </c>
      <c r="K9" s="28">
        <v>0</v>
      </c>
      <c r="L9" s="65">
        <v>0</v>
      </c>
      <c r="M9" s="31">
        <v>43111</v>
      </c>
      <c r="N9" s="28" t="s">
        <v>43</v>
      </c>
    </row>
    <row r="10" spans="1:14" ht="27">
      <c r="A10" s="27">
        <v>43134.731689814813</v>
      </c>
      <c r="B10" s="28" t="s">
        <v>44</v>
      </c>
      <c r="C10" s="29" t="s">
        <v>18</v>
      </c>
      <c r="D10" s="30">
        <v>81322260653</v>
      </c>
      <c r="E10" s="28" t="s">
        <v>91</v>
      </c>
      <c r="F10" s="28" t="s">
        <v>35</v>
      </c>
      <c r="G10" s="31">
        <v>0</v>
      </c>
      <c r="H10" s="32" t="s">
        <v>90</v>
      </c>
      <c r="I10" s="30">
        <v>0</v>
      </c>
      <c r="J10" s="30">
        <v>81395314545</v>
      </c>
      <c r="K10" s="28">
        <v>0</v>
      </c>
      <c r="L10" s="65">
        <v>0</v>
      </c>
      <c r="M10" s="31">
        <v>42746</v>
      </c>
      <c r="N10" s="28" t="s">
        <v>43</v>
      </c>
    </row>
    <row r="11" spans="1:14">
      <c r="A11" s="27">
        <v>43136.358935185184</v>
      </c>
      <c r="B11" s="28" t="s">
        <v>44</v>
      </c>
      <c r="C11" s="29" t="s">
        <v>18</v>
      </c>
      <c r="D11" s="30">
        <v>81322260653</v>
      </c>
      <c r="E11" s="28" t="s">
        <v>92</v>
      </c>
      <c r="F11" s="28" t="s">
        <v>35</v>
      </c>
      <c r="G11" s="31">
        <v>0</v>
      </c>
      <c r="H11" s="32" t="s">
        <v>93</v>
      </c>
      <c r="I11" s="30">
        <v>81221616846</v>
      </c>
      <c r="J11" s="30">
        <v>0</v>
      </c>
      <c r="K11" s="28">
        <v>0</v>
      </c>
      <c r="L11" s="65">
        <v>0</v>
      </c>
      <c r="M11" s="31">
        <v>43132</v>
      </c>
      <c r="N11" s="28" t="s">
        <v>43</v>
      </c>
    </row>
    <row r="12" spans="1:14">
      <c r="A12" s="27">
        <v>43134.738981481481</v>
      </c>
      <c r="B12" s="28" t="s">
        <v>44</v>
      </c>
      <c r="C12" s="29" t="s">
        <v>18</v>
      </c>
      <c r="D12" s="30">
        <v>81322260653</v>
      </c>
      <c r="E12" s="28" t="s">
        <v>95</v>
      </c>
      <c r="F12" s="28" t="s">
        <v>35</v>
      </c>
      <c r="G12" s="31">
        <v>43304</v>
      </c>
      <c r="H12" s="32" t="s">
        <v>96</v>
      </c>
      <c r="I12" s="30">
        <v>0</v>
      </c>
      <c r="J12" s="30">
        <v>811248495</v>
      </c>
      <c r="K12" s="66" t="s">
        <v>94</v>
      </c>
      <c r="L12" s="65">
        <v>0</v>
      </c>
      <c r="M12" s="31">
        <v>43101</v>
      </c>
      <c r="N12" s="28" t="s">
        <v>43</v>
      </c>
    </row>
    <row r="13" spans="1:14">
      <c r="A13" s="27">
        <v>43134.740983796299</v>
      </c>
      <c r="B13" s="28" t="s">
        <v>44</v>
      </c>
      <c r="C13" s="29" t="s">
        <v>18</v>
      </c>
      <c r="D13" s="30">
        <v>81322260653</v>
      </c>
      <c r="E13" s="28" t="s">
        <v>97</v>
      </c>
      <c r="F13" s="28" t="s">
        <v>35</v>
      </c>
      <c r="G13" s="31">
        <v>0</v>
      </c>
      <c r="H13" s="32">
        <v>0</v>
      </c>
      <c r="I13" s="30">
        <v>0</v>
      </c>
      <c r="J13" s="30">
        <v>81320549014</v>
      </c>
      <c r="K13" s="28">
        <v>0</v>
      </c>
      <c r="L13" s="65">
        <v>0</v>
      </c>
      <c r="M13" s="31">
        <v>43104</v>
      </c>
      <c r="N13" s="28" t="s">
        <v>43</v>
      </c>
    </row>
    <row r="14" spans="1:14">
      <c r="A14" s="27">
        <v>43138.903067129628</v>
      </c>
      <c r="B14" s="28" t="s">
        <v>44</v>
      </c>
      <c r="C14" s="29" t="s">
        <v>18</v>
      </c>
      <c r="D14" s="30">
        <v>81322260653</v>
      </c>
      <c r="E14" s="28" t="s">
        <v>103</v>
      </c>
      <c r="F14" s="28" t="s">
        <v>45</v>
      </c>
      <c r="G14" s="31">
        <v>0</v>
      </c>
      <c r="H14" s="32" t="s">
        <v>104</v>
      </c>
      <c r="I14" s="30">
        <v>0</v>
      </c>
      <c r="J14" s="30">
        <v>0</v>
      </c>
      <c r="K14" s="28">
        <v>0</v>
      </c>
      <c r="L14" s="65">
        <v>0</v>
      </c>
      <c r="M14" s="31">
        <v>43139</v>
      </c>
      <c r="N14" s="28" t="s">
        <v>43</v>
      </c>
    </row>
    <row r="15" spans="1:14">
      <c r="A15" s="27">
        <v>43138.906307870369</v>
      </c>
      <c r="B15" s="28" t="s">
        <v>44</v>
      </c>
      <c r="C15" s="29" t="s">
        <v>18</v>
      </c>
      <c r="D15" s="30">
        <v>81322260653</v>
      </c>
      <c r="E15" s="28" t="s">
        <v>105</v>
      </c>
      <c r="F15" s="28" t="s">
        <v>35</v>
      </c>
      <c r="G15" s="31">
        <v>0</v>
      </c>
      <c r="H15" s="32" t="s">
        <v>106</v>
      </c>
      <c r="I15" s="30">
        <v>0</v>
      </c>
      <c r="J15" s="30">
        <v>87722668801</v>
      </c>
      <c r="K15" s="28">
        <v>0</v>
      </c>
      <c r="L15" s="65">
        <v>0</v>
      </c>
      <c r="M15" s="31">
        <v>43139</v>
      </c>
      <c r="N15" s="28" t="s">
        <v>43</v>
      </c>
    </row>
    <row r="16" spans="1:14">
      <c r="A16" s="27">
        <v>43139.338784722226</v>
      </c>
      <c r="B16" s="28" t="s">
        <v>44</v>
      </c>
      <c r="C16" s="29" t="s">
        <v>19</v>
      </c>
      <c r="D16" s="30">
        <v>87722238877</v>
      </c>
      <c r="E16" s="28" t="s">
        <v>159</v>
      </c>
      <c r="F16" s="28" t="s">
        <v>35</v>
      </c>
      <c r="G16" s="31">
        <v>0</v>
      </c>
      <c r="H16" s="32">
        <v>0</v>
      </c>
      <c r="I16" s="30">
        <v>0</v>
      </c>
      <c r="J16" s="30">
        <v>0</v>
      </c>
      <c r="K16" s="28">
        <v>0</v>
      </c>
      <c r="L16" s="65">
        <v>0</v>
      </c>
      <c r="M16" s="31">
        <v>0</v>
      </c>
      <c r="N16" s="28" t="s">
        <v>42</v>
      </c>
    </row>
    <row r="17" spans="1:14">
      <c r="A17" s="27">
        <v>43139.339317129627</v>
      </c>
      <c r="B17" s="28" t="s">
        <v>44</v>
      </c>
      <c r="C17" s="29" t="s">
        <v>19</v>
      </c>
      <c r="D17" s="30">
        <v>87722238877</v>
      </c>
      <c r="E17" s="28" t="s">
        <v>160</v>
      </c>
      <c r="F17" s="28" t="s">
        <v>35</v>
      </c>
      <c r="G17" s="31">
        <v>0</v>
      </c>
      <c r="H17" s="32">
        <v>0</v>
      </c>
      <c r="I17" s="30">
        <v>0</v>
      </c>
      <c r="J17" s="30">
        <v>0</v>
      </c>
      <c r="K17" s="28">
        <v>0</v>
      </c>
      <c r="L17" s="65">
        <v>0</v>
      </c>
      <c r="M17" s="31">
        <v>43132</v>
      </c>
      <c r="N17" s="28" t="s">
        <v>43</v>
      </c>
    </row>
    <row r="18" spans="1:14">
      <c r="A18" s="27">
        <v>43139.339583333334</v>
      </c>
      <c r="B18" s="28" t="s">
        <v>44</v>
      </c>
      <c r="C18" s="29" t="s">
        <v>19</v>
      </c>
      <c r="D18" s="30">
        <v>87722238877</v>
      </c>
      <c r="E18" s="28" t="s">
        <v>19</v>
      </c>
      <c r="F18" s="28" t="s">
        <v>35</v>
      </c>
      <c r="G18" s="31">
        <v>0</v>
      </c>
      <c r="H18" s="32">
        <v>0</v>
      </c>
      <c r="I18" s="30">
        <v>0</v>
      </c>
      <c r="J18" s="30">
        <v>0</v>
      </c>
      <c r="K18" s="28">
        <v>0</v>
      </c>
      <c r="L18" s="65">
        <v>0</v>
      </c>
      <c r="M18" s="31">
        <v>0</v>
      </c>
      <c r="N18" s="28" t="s">
        <v>43</v>
      </c>
    </row>
    <row r="19" spans="1:14" ht="13.5">
      <c r="A19" s="27">
        <v>43126.97855324074</v>
      </c>
      <c r="B19" s="28" t="s">
        <v>44</v>
      </c>
      <c r="C19" s="29" t="s">
        <v>49</v>
      </c>
      <c r="D19" s="30">
        <v>2287341165</v>
      </c>
      <c r="E19" s="28" t="s">
        <v>50</v>
      </c>
      <c r="F19" s="28" t="s">
        <v>35</v>
      </c>
      <c r="G19" s="31">
        <v>25182</v>
      </c>
      <c r="H19" s="32" t="s">
        <v>51</v>
      </c>
      <c r="I19" s="30">
        <v>81312221480</v>
      </c>
      <c r="J19" s="30">
        <v>81312221480</v>
      </c>
      <c r="K19" s="66" t="s">
        <v>58</v>
      </c>
      <c r="L19" s="66" t="s">
        <v>52</v>
      </c>
      <c r="M19" s="31">
        <v>43040</v>
      </c>
      <c r="N19" s="28" t="s">
        <v>43</v>
      </c>
    </row>
    <row r="20" spans="1:14">
      <c r="A20" s="27">
        <v>43134.707083333335</v>
      </c>
      <c r="B20" s="28" t="s">
        <v>44</v>
      </c>
      <c r="C20" s="29" t="s">
        <v>49</v>
      </c>
      <c r="D20" s="30">
        <v>2287341165</v>
      </c>
      <c r="E20" s="28" t="s">
        <v>72</v>
      </c>
      <c r="F20" s="28" t="s">
        <v>35</v>
      </c>
      <c r="G20" s="31">
        <v>0</v>
      </c>
      <c r="H20" s="32" t="s">
        <v>51</v>
      </c>
      <c r="I20" s="30">
        <v>0</v>
      </c>
      <c r="J20" s="30">
        <v>0</v>
      </c>
      <c r="K20" s="28">
        <v>0</v>
      </c>
      <c r="L20" s="65">
        <v>0</v>
      </c>
      <c r="M20" s="31" t="s">
        <v>73</v>
      </c>
      <c r="N20" s="28" t="s">
        <v>43</v>
      </c>
    </row>
    <row r="21" spans="1:14">
      <c r="A21" s="27">
        <v>43134.707951388889</v>
      </c>
      <c r="B21" s="28" t="s">
        <v>44</v>
      </c>
      <c r="C21" s="29" t="s">
        <v>49</v>
      </c>
      <c r="D21" s="30">
        <v>2287341165</v>
      </c>
      <c r="E21" s="28" t="s">
        <v>74</v>
      </c>
      <c r="F21" s="28" t="s">
        <v>35</v>
      </c>
      <c r="G21" s="31">
        <v>0</v>
      </c>
      <c r="H21" s="32" t="s">
        <v>51</v>
      </c>
      <c r="I21" s="30">
        <v>0</v>
      </c>
      <c r="J21" s="30">
        <v>0</v>
      </c>
      <c r="K21" s="28">
        <v>0</v>
      </c>
      <c r="L21" s="65">
        <v>0</v>
      </c>
      <c r="M21" s="31" t="s">
        <v>73</v>
      </c>
      <c r="N21" s="28" t="s">
        <v>43</v>
      </c>
    </row>
    <row r="22" spans="1:14">
      <c r="A22" s="27">
        <v>43134.708437499998</v>
      </c>
      <c r="B22" s="28" t="s">
        <v>44</v>
      </c>
      <c r="C22" s="29" t="s">
        <v>49</v>
      </c>
      <c r="D22" s="30">
        <v>2287341165</v>
      </c>
      <c r="E22" s="28" t="s">
        <v>75</v>
      </c>
      <c r="F22" s="28" t="s">
        <v>35</v>
      </c>
      <c r="G22" s="31">
        <v>0</v>
      </c>
      <c r="H22" s="32" t="s">
        <v>51</v>
      </c>
      <c r="I22" s="30">
        <v>0</v>
      </c>
      <c r="J22" s="30">
        <v>0</v>
      </c>
      <c r="K22" s="28">
        <v>0</v>
      </c>
      <c r="L22" s="65">
        <v>0</v>
      </c>
      <c r="M22" s="31" t="s">
        <v>73</v>
      </c>
      <c r="N22" s="28" t="s">
        <v>43</v>
      </c>
    </row>
    <row r="23" spans="1:14">
      <c r="A23" s="27">
        <v>43134.710150462961</v>
      </c>
      <c r="B23" s="28" t="s">
        <v>44</v>
      </c>
      <c r="C23" s="29" t="s">
        <v>49</v>
      </c>
      <c r="D23" s="30">
        <v>2287341165</v>
      </c>
      <c r="E23" s="28" t="s">
        <v>76</v>
      </c>
      <c r="F23" s="28" t="s">
        <v>35</v>
      </c>
      <c r="G23" s="31">
        <v>0</v>
      </c>
      <c r="H23" s="32" t="s">
        <v>51</v>
      </c>
      <c r="I23" s="30">
        <v>0</v>
      </c>
      <c r="J23" s="30">
        <v>81931400269</v>
      </c>
      <c r="K23" s="28">
        <v>0</v>
      </c>
      <c r="L23" s="65">
        <v>0</v>
      </c>
      <c r="M23" s="31" t="s">
        <v>73</v>
      </c>
      <c r="N23" s="28" t="s">
        <v>43</v>
      </c>
    </row>
    <row r="24" spans="1:14">
      <c r="A24" s="27">
        <v>43134.7109375</v>
      </c>
      <c r="B24" s="28" t="s">
        <v>44</v>
      </c>
      <c r="C24" s="29" t="s">
        <v>49</v>
      </c>
      <c r="D24" s="30">
        <v>2287341165</v>
      </c>
      <c r="E24" s="28" t="s">
        <v>77</v>
      </c>
      <c r="F24" s="28" t="s">
        <v>35</v>
      </c>
      <c r="G24" s="31">
        <v>0</v>
      </c>
      <c r="H24" s="32" t="s">
        <v>51</v>
      </c>
      <c r="I24" s="30">
        <v>0</v>
      </c>
      <c r="J24" s="30">
        <v>0</v>
      </c>
      <c r="K24" s="28">
        <v>0</v>
      </c>
      <c r="L24" s="65">
        <v>0</v>
      </c>
      <c r="M24" s="31" t="s">
        <v>73</v>
      </c>
      <c r="N24" s="28" t="s">
        <v>43</v>
      </c>
    </row>
    <row r="25" spans="1:14">
      <c r="A25" s="27">
        <v>43134.711493055554</v>
      </c>
      <c r="B25" s="28" t="s">
        <v>44</v>
      </c>
      <c r="C25" s="29" t="s">
        <v>49</v>
      </c>
      <c r="D25" s="30">
        <v>2287341165</v>
      </c>
      <c r="E25" s="28" t="s">
        <v>78</v>
      </c>
      <c r="F25" s="28" t="s">
        <v>35</v>
      </c>
      <c r="G25" s="31">
        <v>0</v>
      </c>
      <c r="H25" s="32" t="s">
        <v>51</v>
      </c>
      <c r="I25" s="30">
        <v>0</v>
      </c>
      <c r="J25" s="30">
        <v>0</v>
      </c>
      <c r="K25" s="28">
        <v>0</v>
      </c>
      <c r="L25" s="65">
        <v>0</v>
      </c>
      <c r="M25" s="31" t="s">
        <v>73</v>
      </c>
      <c r="N25" s="28" t="s">
        <v>43</v>
      </c>
    </row>
    <row r="26" spans="1:14">
      <c r="A26" s="27">
        <v>43134.713379629633</v>
      </c>
      <c r="B26" s="28" t="s">
        <v>44</v>
      </c>
      <c r="C26" s="29" t="s">
        <v>49</v>
      </c>
      <c r="D26" s="30">
        <v>2287341165</v>
      </c>
      <c r="E26" s="28" t="s">
        <v>79</v>
      </c>
      <c r="F26" s="28" t="s">
        <v>35</v>
      </c>
      <c r="G26" s="31">
        <v>0</v>
      </c>
      <c r="H26" s="32" t="s">
        <v>51</v>
      </c>
      <c r="I26" s="30">
        <v>0</v>
      </c>
      <c r="J26" s="30">
        <v>0</v>
      </c>
      <c r="K26" s="28">
        <v>0</v>
      </c>
      <c r="L26" s="65">
        <v>0</v>
      </c>
      <c r="M26" s="31" t="s">
        <v>73</v>
      </c>
      <c r="N26" s="28" t="s">
        <v>43</v>
      </c>
    </row>
    <row r="27" spans="1:14">
      <c r="A27" s="27">
        <v>43134.713796296295</v>
      </c>
      <c r="B27" s="28" t="s">
        <v>44</v>
      </c>
      <c r="C27" s="29" t="s">
        <v>49</v>
      </c>
      <c r="D27" s="30">
        <v>2287341165</v>
      </c>
      <c r="E27" s="28" t="s">
        <v>20</v>
      </c>
      <c r="F27" s="28" t="s">
        <v>45</v>
      </c>
      <c r="G27" s="31">
        <v>0</v>
      </c>
      <c r="H27" s="32" t="s">
        <v>51</v>
      </c>
      <c r="I27" s="30">
        <v>0</v>
      </c>
      <c r="J27" s="30">
        <v>0</v>
      </c>
      <c r="K27" s="28">
        <v>0</v>
      </c>
      <c r="L27" s="65">
        <v>0</v>
      </c>
      <c r="M27" s="31" t="s">
        <v>73</v>
      </c>
      <c r="N27" s="28" t="s">
        <v>43</v>
      </c>
    </row>
    <row r="28" spans="1:14">
      <c r="A28" s="27">
        <v>43134.714270833334</v>
      </c>
      <c r="B28" s="28" t="s">
        <v>44</v>
      </c>
      <c r="C28" s="29" t="s">
        <v>49</v>
      </c>
      <c r="D28" s="30">
        <v>2287341165</v>
      </c>
      <c r="E28" s="28" t="s">
        <v>80</v>
      </c>
      <c r="F28" s="28" t="s">
        <v>45</v>
      </c>
      <c r="G28" s="31">
        <v>0</v>
      </c>
      <c r="H28" s="32" t="s">
        <v>51</v>
      </c>
      <c r="I28" s="30">
        <v>0</v>
      </c>
      <c r="J28" s="30">
        <v>0</v>
      </c>
      <c r="K28" s="28">
        <v>0</v>
      </c>
      <c r="L28" s="65">
        <v>0</v>
      </c>
      <c r="M28" s="31" t="s">
        <v>73</v>
      </c>
      <c r="N28" s="28" t="s">
        <v>43</v>
      </c>
    </row>
    <row r="29" spans="1:14">
      <c r="A29" s="27">
        <v>43134.716296296298</v>
      </c>
      <c r="B29" s="28" t="s">
        <v>44</v>
      </c>
      <c r="C29" s="29" t="s">
        <v>49</v>
      </c>
      <c r="D29" s="30">
        <v>2287341165</v>
      </c>
      <c r="E29" s="28" t="s">
        <v>81</v>
      </c>
      <c r="F29" s="28">
        <v>0</v>
      </c>
      <c r="G29" s="31">
        <v>0</v>
      </c>
      <c r="H29" s="32" t="s">
        <v>51</v>
      </c>
      <c r="I29" s="30">
        <v>2287341165</v>
      </c>
      <c r="J29" s="30">
        <v>0</v>
      </c>
      <c r="K29" s="28">
        <v>0</v>
      </c>
      <c r="L29" s="65">
        <v>0</v>
      </c>
      <c r="M29" s="31" t="s">
        <v>73</v>
      </c>
      <c r="N29" s="28" t="s">
        <v>43</v>
      </c>
    </row>
    <row r="30" spans="1:14">
      <c r="A30" s="27">
        <v>43134.717083333337</v>
      </c>
      <c r="B30" s="28" t="s">
        <v>44</v>
      </c>
      <c r="C30" s="29" t="s">
        <v>49</v>
      </c>
      <c r="D30" s="30">
        <v>2287341165</v>
      </c>
      <c r="E30" s="28" t="s">
        <v>82</v>
      </c>
      <c r="F30" s="28">
        <v>0</v>
      </c>
      <c r="G30" s="31">
        <v>0</v>
      </c>
      <c r="H30" s="32" t="s">
        <v>83</v>
      </c>
      <c r="I30" s="30">
        <v>0</v>
      </c>
      <c r="J30" s="30">
        <v>0</v>
      </c>
      <c r="K30" s="28">
        <v>0</v>
      </c>
      <c r="L30" s="65">
        <v>0</v>
      </c>
      <c r="M30" s="31" t="s">
        <v>73</v>
      </c>
      <c r="N30" s="28" t="s">
        <v>43</v>
      </c>
    </row>
    <row r="31" spans="1:14">
      <c r="A31" s="27">
        <v>43139.024687500001</v>
      </c>
      <c r="B31" s="28" t="s">
        <v>44</v>
      </c>
      <c r="C31" s="29" t="s">
        <v>20</v>
      </c>
      <c r="D31" s="30">
        <v>89655913283</v>
      </c>
      <c r="E31" s="28" t="s">
        <v>153</v>
      </c>
      <c r="F31" s="28" t="s">
        <v>45</v>
      </c>
      <c r="G31" s="31">
        <v>0</v>
      </c>
      <c r="H31" s="32">
        <v>0</v>
      </c>
      <c r="I31" s="30">
        <v>0</v>
      </c>
      <c r="J31" s="30">
        <v>0</v>
      </c>
      <c r="K31" s="28">
        <v>0</v>
      </c>
      <c r="L31" s="65">
        <v>0</v>
      </c>
      <c r="M31" s="31">
        <v>43132</v>
      </c>
      <c r="N31" s="28" t="s">
        <v>43</v>
      </c>
    </row>
    <row r="32" spans="1:14">
      <c r="A32" s="27">
        <v>43139.024942129632</v>
      </c>
      <c r="B32" s="28" t="s">
        <v>44</v>
      </c>
      <c r="C32" s="29" t="s">
        <v>20</v>
      </c>
      <c r="D32" s="30">
        <v>89655913283</v>
      </c>
      <c r="E32" s="28" t="s">
        <v>154</v>
      </c>
      <c r="F32" s="28">
        <v>0</v>
      </c>
      <c r="G32" s="31">
        <v>0</v>
      </c>
      <c r="H32" s="32">
        <v>0</v>
      </c>
      <c r="I32" s="30">
        <v>0</v>
      </c>
      <c r="J32" s="30">
        <v>0</v>
      </c>
      <c r="K32" s="28">
        <v>0</v>
      </c>
      <c r="L32" s="65">
        <v>0</v>
      </c>
      <c r="M32" s="31">
        <v>43132</v>
      </c>
      <c r="N32" s="28" t="s">
        <v>43</v>
      </c>
    </row>
    <row r="33" spans="1:14">
      <c r="A33" s="27">
        <v>43139.025763888887</v>
      </c>
      <c r="B33" s="28" t="s">
        <v>44</v>
      </c>
      <c r="C33" s="29" t="s">
        <v>20</v>
      </c>
      <c r="D33" s="30">
        <v>89655913283</v>
      </c>
      <c r="E33" s="28" t="s">
        <v>155</v>
      </c>
      <c r="F33" s="28" t="s">
        <v>45</v>
      </c>
      <c r="G33" s="31">
        <v>0</v>
      </c>
      <c r="H33" s="32">
        <v>0</v>
      </c>
      <c r="I33" s="30">
        <v>0</v>
      </c>
      <c r="J33" s="30">
        <v>0</v>
      </c>
      <c r="K33" s="28">
        <v>0</v>
      </c>
      <c r="L33" s="65">
        <v>0</v>
      </c>
      <c r="M33" s="31">
        <v>43132</v>
      </c>
      <c r="N33" s="28" t="s">
        <v>43</v>
      </c>
    </row>
    <row r="34" spans="1:14">
      <c r="A34" s="27">
        <v>43139.02615740741</v>
      </c>
      <c r="B34" s="28" t="s">
        <v>44</v>
      </c>
      <c r="C34" s="29" t="s">
        <v>20</v>
      </c>
      <c r="D34" s="30">
        <v>89655913283</v>
      </c>
      <c r="E34" s="28" t="s">
        <v>156</v>
      </c>
      <c r="F34" s="28" t="s">
        <v>35</v>
      </c>
      <c r="G34" s="31">
        <v>0</v>
      </c>
      <c r="H34" s="32">
        <v>0</v>
      </c>
      <c r="I34" s="30">
        <v>0</v>
      </c>
      <c r="J34" s="30">
        <v>0</v>
      </c>
      <c r="K34" s="28">
        <v>0</v>
      </c>
      <c r="L34" s="65">
        <v>0</v>
      </c>
      <c r="M34" s="31">
        <v>43132</v>
      </c>
      <c r="N34" s="28" t="s">
        <v>43</v>
      </c>
    </row>
    <row r="35" spans="1:14">
      <c r="A35" s="27">
        <v>43139.02652777778</v>
      </c>
      <c r="B35" s="28" t="s">
        <v>44</v>
      </c>
      <c r="C35" s="29" t="s">
        <v>20</v>
      </c>
      <c r="D35" s="30">
        <v>89655913283</v>
      </c>
      <c r="E35" s="28" t="s">
        <v>157</v>
      </c>
      <c r="F35" s="28">
        <v>0</v>
      </c>
      <c r="G35" s="31">
        <v>0</v>
      </c>
      <c r="H35" s="32">
        <v>0</v>
      </c>
      <c r="I35" s="30">
        <v>0</v>
      </c>
      <c r="J35" s="30">
        <v>0</v>
      </c>
      <c r="K35" s="28">
        <v>0</v>
      </c>
      <c r="L35" s="65">
        <v>0</v>
      </c>
      <c r="M35" s="31">
        <v>43132</v>
      </c>
      <c r="N35" s="28" t="s">
        <v>43</v>
      </c>
    </row>
    <row r="36" spans="1:14">
      <c r="A36" s="27">
        <v>43139.102083333331</v>
      </c>
      <c r="B36" s="28" t="s">
        <v>44</v>
      </c>
      <c r="C36" s="29" t="s">
        <v>21</v>
      </c>
      <c r="D36" s="30">
        <v>0</v>
      </c>
      <c r="E36" s="28" t="s">
        <v>158</v>
      </c>
      <c r="F36" s="28" t="s">
        <v>35</v>
      </c>
      <c r="G36" s="31">
        <v>0</v>
      </c>
      <c r="H36" s="32">
        <v>0</v>
      </c>
      <c r="I36" s="30">
        <v>0</v>
      </c>
      <c r="J36" s="30">
        <v>0</v>
      </c>
      <c r="K36" s="28">
        <v>0</v>
      </c>
      <c r="L36" s="65">
        <v>0</v>
      </c>
      <c r="M36" s="31">
        <v>43132</v>
      </c>
      <c r="N36" s="28" t="s">
        <v>43</v>
      </c>
    </row>
  </sheetData>
  <sortState ref="A2:N36">
    <sortCondition ref="C2"/>
  </sortState>
  <phoneticPr fontId="3" type="noConversion"/>
  <conditionalFormatting sqref="A2:N1009">
    <cfRule type="notContainsBlanks" dxfId="9" priority="1">
      <formula>LEN(TRIM(A2))&gt;0</formula>
    </cfRule>
  </conditionalFormatting>
  <hyperlinks>
    <hyperlink ref="K3" r:id="rId1" display="http://facebook.com/ani.herningsih"/>
    <hyperlink ref="K2" r:id="rId2"/>
    <hyperlink ref="K19" r:id="rId3"/>
    <hyperlink ref="L2" r:id="rId4"/>
    <hyperlink ref="L19" r:id="rId5"/>
    <hyperlink ref="K4" r:id="rId6"/>
    <hyperlink ref="K5" r:id="rId7"/>
    <hyperlink ref="K6" r:id="rId8"/>
    <hyperlink ref="K12" r:id="rId9"/>
  </hyperlinks>
  <pageMargins left="0.75" right="0.75" top="1" bottom="1" header="0.5" footer="0.5"/>
  <pageSetup orientation="portrait" r:id="rId10"/>
  <headerFooter alignWithMargins="0"/>
  <drawing r:id="rId11"/>
</worksheet>
</file>

<file path=xl/worksheets/sheet4.xml><?xml version="1.0" encoding="utf-8"?>
<worksheet xmlns="http://schemas.openxmlformats.org/spreadsheetml/2006/main" xmlns:r="http://schemas.openxmlformats.org/officeDocument/2006/relationships">
  <sheetPr codeName="wksInLink"/>
  <dimension ref="A1:L10"/>
  <sheetViews>
    <sheetView showGridLines="0" workbookViewId="0">
      <selection activeCell="F16" sqref="F16"/>
    </sheetView>
  </sheetViews>
  <sheetFormatPr defaultRowHeight="13.5"/>
  <cols>
    <col min="1" max="1" width="33.140625" style="22" customWidth="1"/>
    <col min="2" max="12" width="19.7109375" style="22" customWidth="1"/>
    <col min="13" max="16384" width="9.140625" style="23"/>
  </cols>
  <sheetData>
    <row r="1" spans="1:12" ht="14.25" thickBot="1">
      <c r="A1" s="22" t="s">
        <v>13</v>
      </c>
      <c r="C1" s="22" t="s">
        <v>16</v>
      </c>
    </row>
    <row r="2" spans="1:12" ht="15" thickTop="1" thickBot="1">
      <c r="A2" s="49">
        <f>MATCH(A5,PartsData!1:1,0)</f>
        <v>3</v>
      </c>
      <c r="C2" s="49">
        <f ca="1">SUM(9:9)</f>
        <v>3</v>
      </c>
    </row>
    <row r="3" spans="1:12" ht="14.25" thickTop="1"/>
    <row r="4" spans="1:12" ht="14.25">
      <c r="A4" s="24" t="s">
        <v>4</v>
      </c>
      <c r="B4" s="24" t="s">
        <v>5</v>
      </c>
      <c r="C4" s="24" t="s">
        <v>6</v>
      </c>
      <c r="D4" s="24" t="s">
        <v>7</v>
      </c>
      <c r="E4" s="24" t="s">
        <v>8</v>
      </c>
      <c r="F4" s="24" t="s">
        <v>9</v>
      </c>
      <c r="G4" s="24" t="s">
        <v>36</v>
      </c>
      <c r="H4" s="24" t="s">
        <v>37</v>
      </c>
      <c r="I4" s="24" t="s">
        <v>38</v>
      </c>
      <c r="J4" s="24" t="s">
        <v>39</v>
      </c>
      <c r="K4" s="24" t="s">
        <v>40</v>
      </c>
      <c r="L4" s="24" t="s">
        <v>41</v>
      </c>
    </row>
    <row r="5" spans="1:12" ht="15" thickBot="1">
      <c r="A5" s="25" t="str">
        <f>PartsData!C1</f>
        <v>Nama Kontak Selaras Semesta</v>
      </c>
      <c r="B5" s="25" t="str">
        <f>PartsData!D1</f>
        <v>Nomor HP Kontak</v>
      </c>
      <c r="C5" s="25" t="str">
        <f>PartsData!E1</f>
        <v>Nama Pembeli</v>
      </c>
      <c r="D5" s="25" t="str">
        <f>PartsData!F1</f>
        <v>Jenis Kelamin</v>
      </c>
      <c r="E5" s="25" t="str">
        <f>PartsData!G1</f>
        <v>Tanggal Lahir</v>
      </c>
      <c r="F5" s="25" t="str">
        <f>PartsData!H1</f>
        <v>Alamat</v>
      </c>
      <c r="G5" s="25" t="str">
        <f>PartsData!I1</f>
        <v>Nomor HP Pembeli</v>
      </c>
      <c r="H5" s="25" t="str">
        <f>PartsData!J1</f>
        <v>WA</v>
      </c>
      <c r="I5" s="25" t="str">
        <f>PartsData!K1</f>
        <v>Facebook</v>
      </c>
      <c r="J5" s="25" t="str">
        <f>PartsData!L1</f>
        <v>Email</v>
      </c>
      <c r="K5" s="25" t="str">
        <f>PartsData!M1</f>
        <v>Tanggal Bergabung</v>
      </c>
      <c r="L5" s="25" t="str">
        <f>PartsData!N1</f>
        <v>Status</v>
      </c>
    </row>
    <row r="6" spans="1:12" ht="15" thickTop="1" thickBot="1">
      <c r="A6" s="50">
        <f t="shared" ref="A6:L6" ca="1" si="0">INDIRECT("Input!"&amp;A4)</f>
        <v>0</v>
      </c>
      <c r="B6" s="51">
        <f t="shared" ca="1" si="0"/>
        <v>0</v>
      </c>
      <c r="C6" s="52">
        <f t="shared" ca="1" si="0"/>
        <v>0</v>
      </c>
      <c r="D6" s="52">
        <f t="shared" ca="1" si="0"/>
        <v>0</v>
      </c>
      <c r="E6" s="52">
        <f t="shared" ca="1" si="0"/>
        <v>0</v>
      </c>
      <c r="F6" s="52">
        <f t="shared" ca="1" si="0"/>
        <v>0</v>
      </c>
      <c r="G6" s="51">
        <f t="shared" ca="1" si="0"/>
        <v>0</v>
      </c>
      <c r="H6" s="51">
        <f t="shared" ca="1" si="0"/>
        <v>0</v>
      </c>
      <c r="I6" s="50">
        <f t="shared" ca="1" si="0"/>
        <v>0</v>
      </c>
      <c r="J6" s="50">
        <f t="shared" ca="1" si="0"/>
        <v>0</v>
      </c>
      <c r="K6" s="53">
        <f t="shared" ca="1" si="0"/>
        <v>0</v>
      </c>
      <c r="L6" s="50">
        <f t="shared" ca="1" si="0"/>
        <v>0</v>
      </c>
    </row>
    <row r="7" spans="1:12" ht="14.25" thickTop="1"/>
    <row r="8" spans="1:12" ht="14.25" thickBot="1">
      <c r="A8" s="22" t="s">
        <v>15</v>
      </c>
    </row>
    <row r="9" spans="1:12" ht="15" thickTop="1" thickBot="1">
      <c r="A9" s="54">
        <f t="shared" ref="A9:L9" ca="1" si="1">OFFSET(INDIRECT("Input!"&amp;A4),0,2)</f>
        <v>1</v>
      </c>
      <c r="B9" s="54">
        <f t="shared" ca="1" si="1"/>
        <v>1</v>
      </c>
      <c r="C9" s="54" t="str">
        <f t="shared" ca="1" si="1"/>
        <v/>
      </c>
      <c r="D9" s="54">
        <f t="shared" ca="1" si="1"/>
        <v>1</v>
      </c>
      <c r="E9" s="54">
        <f t="shared" ca="1" si="1"/>
        <v>0</v>
      </c>
      <c r="F9" s="54">
        <f t="shared" ca="1" si="1"/>
        <v>0</v>
      </c>
      <c r="G9" s="54">
        <f t="shared" ca="1" si="1"/>
        <v>0</v>
      </c>
      <c r="H9" s="54">
        <f t="shared" ca="1" si="1"/>
        <v>0</v>
      </c>
      <c r="I9" s="54">
        <f t="shared" ca="1" si="1"/>
        <v>0</v>
      </c>
      <c r="J9" s="54">
        <f t="shared" ca="1" si="1"/>
        <v>0</v>
      </c>
      <c r="K9" s="54">
        <f t="shared" ca="1" si="1"/>
        <v>0</v>
      </c>
      <c r="L9" s="54">
        <f t="shared" ca="1" si="1"/>
        <v>0</v>
      </c>
    </row>
    <row r="10" spans="1:12" ht="14.25" thickTop="1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wksSelRec"/>
  <dimension ref="B1:D16"/>
  <sheetViews>
    <sheetView showGridLines="0" workbookViewId="0">
      <selection activeCell="D4" sqref="D4"/>
    </sheetView>
  </sheetViews>
  <sheetFormatPr defaultRowHeight="13.5"/>
  <cols>
    <col min="1" max="1" width="3.5703125" style="16" customWidth="1"/>
    <col min="2" max="2" width="28" style="16" bestFit="1" customWidth="1"/>
    <col min="3" max="3" width="7.28515625" style="16" bestFit="1" customWidth="1"/>
    <col min="4" max="4" width="35.140625" style="16" bestFit="1" customWidth="1"/>
    <col min="5" max="7" width="2.28515625" style="16" customWidth="1"/>
    <col min="8" max="16384" width="9.140625" style="16"/>
  </cols>
  <sheetData>
    <row r="1" spans="2:4" ht="15" thickTop="1" thickBot="1">
      <c r="B1" s="16" t="s">
        <v>14</v>
      </c>
      <c r="C1" s="44">
        <f>CurrRec+1</f>
        <v>1</v>
      </c>
    </row>
    <row r="2" spans="2:4" ht="15" thickTop="1" thickBot="1"/>
    <row r="3" spans="2:4" ht="15.75" thickTop="1" thickBot="1">
      <c r="B3" s="45" t="s">
        <v>10</v>
      </c>
      <c r="C3" s="45" t="s">
        <v>11</v>
      </c>
      <c r="D3" s="45" t="s">
        <v>12</v>
      </c>
    </row>
    <row r="4" spans="2:4" ht="15" thickTop="1" thickBot="1">
      <c r="B4" s="46" t="str">
        <f>Input!B5</f>
        <v>Nama Kontak Selaras Semesta</v>
      </c>
      <c r="C4" s="47">
        <f>MATCH(B4,PartsData!$1:$1,0)</f>
        <v>3</v>
      </c>
      <c r="D4" s="48" t="str">
        <f t="shared" ref="D4:D15" si="0">IF(DB_Row=1,"",IF(INDEX(PartsDatabase,DB_Row,C4)="","",INDEX(PartsDatabase,DB_Row,C4)))</f>
        <v/>
      </c>
    </row>
    <row r="5" spans="2:4" ht="15" thickTop="1" thickBot="1">
      <c r="B5" s="46" t="str">
        <f>Input!B6</f>
        <v>Nomor HP Kontak</v>
      </c>
      <c r="C5" s="47">
        <f>MATCH(B5,PartsData!$1:$1,0)</f>
        <v>4</v>
      </c>
      <c r="D5" s="48" t="str">
        <f t="shared" si="0"/>
        <v/>
      </c>
    </row>
    <row r="6" spans="2:4" ht="15" thickTop="1" thickBot="1">
      <c r="B6" s="46" t="str">
        <f>Input!B7</f>
        <v>Nama Pembeli</v>
      </c>
      <c r="C6" s="47">
        <f>MATCH(B6,PartsData!$1:$1,0)</f>
        <v>5</v>
      </c>
      <c r="D6" s="48" t="str">
        <f t="shared" si="0"/>
        <v/>
      </c>
    </row>
    <row r="7" spans="2:4" ht="15" thickTop="1" thickBot="1">
      <c r="B7" s="46" t="str">
        <f>Input!B8</f>
        <v>Jenis Kelamin</v>
      </c>
      <c r="C7" s="47">
        <f>MATCH(B7,PartsData!$1:$1,0)</f>
        <v>6</v>
      </c>
      <c r="D7" s="48" t="str">
        <f t="shared" si="0"/>
        <v/>
      </c>
    </row>
    <row r="8" spans="2:4" ht="15" thickTop="1" thickBot="1">
      <c r="B8" s="46" t="str">
        <f>Input!B9</f>
        <v>Tanggal Lahir</v>
      </c>
      <c r="C8" s="47">
        <f>MATCH(B8,PartsData!$1:$1,0)</f>
        <v>7</v>
      </c>
      <c r="D8" s="48" t="str">
        <f t="shared" si="0"/>
        <v/>
      </c>
    </row>
    <row r="9" spans="2:4" ht="15" thickTop="1" thickBot="1">
      <c r="B9" s="46" t="str">
        <f>Input!B10</f>
        <v>Alamat</v>
      </c>
      <c r="C9" s="47">
        <f>MATCH(B9,PartsData!$1:$1,0)</f>
        <v>8</v>
      </c>
      <c r="D9" s="48" t="str">
        <f t="shared" si="0"/>
        <v/>
      </c>
    </row>
    <row r="10" spans="2:4" ht="15" thickTop="1" thickBot="1">
      <c r="B10" s="46" t="str">
        <f>Input!B11</f>
        <v>Nomor HP Pembeli</v>
      </c>
      <c r="C10" s="47">
        <f>MATCH(B10,PartsData!$1:$1,0)</f>
        <v>9</v>
      </c>
      <c r="D10" s="48" t="str">
        <f t="shared" si="0"/>
        <v/>
      </c>
    </row>
    <row r="11" spans="2:4" ht="15" thickTop="1" thickBot="1">
      <c r="B11" s="46" t="str">
        <f>Input!B12</f>
        <v>WA</v>
      </c>
      <c r="C11" s="47">
        <f>MATCH(B11,PartsData!$1:$1,0)</f>
        <v>10</v>
      </c>
      <c r="D11" s="48" t="str">
        <f t="shared" si="0"/>
        <v/>
      </c>
    </row>
    <row r="12" spans="2:4" ht="15" thickTop="1" thickBot="1">
      <c r="B12" s="46" t="str">
        <f>Input!B13</f>
        <v>Facebook</v>
      </c>
      <c r="C12" s="47">
        <f>MATCH(B12,PartsData!$1:$1,0)</f>
        <v>11</v>
      </c>
      <c r="D12" s="48" t="str">
        <f t="shared" si="0"/>
        <v/>
      </c>
    </row>
    <row r="13" spans="2:4" ht="15" thickTop="1" thickBot="1">
      <c r="B13" s="46" t="str">
        <f>Input!B14</f>
        <v>Email</v>
      </c>
      <c r="C13" s="47">
        <f>MATCH(B13,PartsData!$1:$1,0)</f>
        <v>12</v>
      </c>
      <c r="D13" s="48" t="str">
        <f t="shared" si="0"/>
        <v/>
      </c>
    </row>
    <row r="14" spans="2:4" ht="15" thickTop="1" thickBot="1">
      <c r="B14" s="46" t="str">
        <f>Input!B15</f>
        <v>Tanggal Bergabung</v>
      </c>
      <c r="C14" s="47">
        <f>MATCH(B14,PartsData!$1:$1,0)</f>
        <v>13</v>
      </c>
      <c r="D14" s="48" t="str">
        <f t="shared" si="0"/>
        <v/>
      </c>
    </row>
    <row r="15" spans="2:4" ht="15" thickTop="1" thickBot="1">
      <c r="B15" s="46" t="str">
        <f>Input!B16</f>
        <v>Status</v>
      </c>
      <c r="C15" s="47">
        <f>MATCH(B15,PartsData!$1:$1,0)</f>
        <v>14</v>
      </c>
      <c r="D15" s="48" t="str">
        <f t="shared" si="0"/>
        <v/>
      </c>
    </row>
    <row r="16" spans="2:4" ht="14.25" thickTop="1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"/>
  <dimension ref="A2:M1000"/>
  <sheetViews>
    <sheetView showGridLines="0" workbookViewId="0">
      <selection activeCell="D7" sqref="D7"/>
    </sheetView>
  </sheetViews>
  <sheetFormatPr defaultRowHeight="15.75"/>
  <cols>
    <col min="1" max="1" width="4" style="22" bestFit="1" customWidth="1"/>
    <col min="2" max="2" width="28.7109375" customWidth="1"/>
    <col min="3" max="3" width="29.7109375" style="71" customWidth="1"/>
    <col min="4" max="4" width="29.42578125" bestFit="1" customWidth="1"/>
    <col min="5" max="5" width="15.7109375" customWidth="1"/>
    <col min="6" max="6" width="20.140625" bestFit="1" customWidth="1"/>
    <col min="7" max="7" width="34.42578125" customWidth="1"/>
    <col min="8" max="8" width="14.85546875" bestFit="1" customWidth="1"/>
    <col min="9" max="9" width="15.7109375" customWidth="1"/>
    <col min="10" max="10" width="38.7109375" bestFit="1" customWidth="1"/>
    <col min="11" max="11" width="20.7109375" bestFit="1" customWidth="1"/>
    <col min="12" max="12" width="19.85546875" bestFit="1" customWidth="1"/>
    <col min="13" max="13" width="15.7109375" customWidth="1"/>
  </cols>
  <sheetData>
    <row r="2" spans="1:13" ht="36.75" customHeight="1" thickBot="1">
      <c r="B2" s="67" t="s">
        <v>100</v>
      </c>
    </row>
    <row r="3" spans="1:13" ht="17.25" thickTop="1" thickBot="1">
      <c r="B3" s="139" t="s">
        <v>22</v>
      </c>
      <c r="C3" s="140" t="s">
        <v>25</v>
      </c>
      <c r="D3" s="140" t="s">
        <v>34</v>
      </c>
    </row>
    <row r="4" spans="1:13" ht="17.25" thickTop="1" thickBot="1">
      <c r="B4" s="141" t="s">
        <v>18</v>
      </c>
      <c r="C4" s="141"/>
      <c r="D4" s="142" t="s">
        <v>43</v>
      </c>
    </row>
    <row r="5" spans="1:13" ht="16.5" thickTop="1"/>
    <row r="6" spans="1:13" ht="17.25">
      <c r="B6" s="68" t="s">
        <v>101</v>
      </c>
      <c r="C6" s="70">
        <f>COUNTIF(M:M,"Konsumen")</f>
        <v>14</v>
      </c>
    </row>
    <row r="7" spans="1:13" ht="47.25" customHeight="1">
      <c r="B7" s="68" t="s">
        <v>102</v>
      </c>
      <c r="C7" s="70">
        <f>COUNTIF(M:M,"Reseller")</f>
        <v>0</v>
      </c>
    </row>
    <row r="8" spans="1:13" ht="18" customHeight="1"/>
    <row r="9" spans="1:13" s="1" customFormat="1" ht="27">
      <c r="A9" s="69" t="str">
        <f>IF(LEN(B9)&lt;&gt;0,"No.","")</f>
        <v>No.</v>
      </c>
      <c r="B9" s="37" t="s">
        <v>22</v>
      </c>
      <c r="C9" s="38" t="s">
        <v>24</v>
      </c>
      <c r="D9" s="39" t="s">
        <v>25</v>
      </c>
      <c r="E9" s="39" t="s">
        <v>26</v>
      </c>
      <c r="F9" s="40" t="s">
        <v>27</v>
      </c>
      <c r="G9" s="37" t="s">
        <v>28</v>
      </c>
      <c r="H9" s="38" t="s">
        <v>29</v>
      </c>
      <c r="I9" s="38" t="s">
        <v>30</v>
      </c>
      <c r="J9" s="39" t="s">
        <v>31</v>
      </c>
      <c r="K9" s="39" t="s">
        <v>32</v>
      </c>
      <c r="L9" s="41" t="s">
        <v>33</v>
      </c>
      <c r="M9" s="39" t="s">
        <v>34</v>
      </c>
    </row>
    <row r="10" spans="1:13">
      <c r="A10" s="22">
        <f t="shared" ref="A10:A73" si="0">IF(LEN(B10)&lt;&gt;0,ROW()-9,"")</f>
        <v>1</v>
      </c>
      <c r="B10" s="29" t="s">
        <v>18</v>
      </c>
      <c r="C10" s="30">
        <v>81322260653</v>
      </c>
      <c r="D10" s="28" t="s">
        <v>61</v>
      </c>
      <c r="E10" s="28" t="s">
        <v>45</v>
      </c>
      <c r="F10" s="31">
        <v>27475</v>
      </c>
      <c r="G10" s="32" t="s">
        <v>46</v>
      </c>
      <c r="H10" s="30">
        <v>81322622881</v>
      </c>
      <c r="I10" s="30">
        <v>8112311523</v>
      </c>
      <c r="J10" s="66" t="s">
        <v>57</v>
      </c>
      <c r="K10" s="66" t="s">
        <v>56</v>
      </c>
      <c r="L10" s="31">
        <v>43132</v>
      </c>
      <c r="M10" s="28" t="s">
        <v>43</v>
      </c>
    </row>
    <row r="11" spans="1:13" ht="40.5">
      <c r="A11" s="22">
        <f t="shared" si="0"/>
        <v>2</v>
      </c>
      <c r="B11" s="29" t="s">
        <v>18</v>
      </c>
      <c r="C11" s="30">
        <v>81322260653</v>
      </c>
      <c r="D11" s="28" t="s">
        <v>48</v>
      </c>
      <c r="E11" s="28" t="s">
        <v>35</v>
      </c>
      <c r="F11" s="31">
        <v>22640</v>
      </c>
      <c r="G11" s="32" t="s">
        <v>55</v>
      </c>
      <c r="H11" s="30">
        <v>81212228690</v>
      </c>
      <c r="I11" s="30">
        <v>85861113838</v>
      </c>
      <c r="J11" s="66" t="s">
        <v>59</v>
      </c>
      <c r="K11" s="28">
        <v>0</v>
      </c>
      <c r="L11" s="31">
        <v>43104</v>
      </c>
      <c r="M11" s="28" t="s">
        <v>43</v>
      </c>
    </row>
    <row r="12" spans="1:13">
      <c r="A12" s="22">
        <f t="shared" si="0"/>
        <v>3</v>
      </c>
      <c r="B12" s="29" t="s">
        <v>18</v>
      </c>
      <c r="C12" s="30">
        <v>81322260653</v>
      </c>
      <c r="D12" s="28" t="s">
        <v>63</v>
      </c>
      <c r="E12" s="28" t="s">
        <v>35</v>
      </c>
      <c r="F12" s="31">
        <v>43328</v>
      </c>
      <c r="G12" s="32" t="s">
        <v>65</v>
      </c>
      <c r="H12" s="30">
        <v>81220096778</v>
      </c>
      <c r="I12" s="30">
        <v>81220096778</v>
      </c>
      <c r="J12" s="66" t="s">
        <v>64</v>
      </c>
      <c r="K12" s="28">
        <v>0</v>
      </c>
      <c r="L12" s="31">
        <v>43104</v>
      </c>
      <c r="M12" s="28" t="s">
        <v>43</v>
      </c>
    </row>
    <row r="13" spans="1:13">
      <c r="A13" s="22">
        <f t="shared" si="0"/>
        <v>4</v>
      </c>
      <c r="B13" s="29" t="s">
        <v>18</v>
      </c>
      <c r="C13" s="30">
        <v>81322260653</v>
      </c>
      <c r="D13" s="28" t="s">
        <v>66</v>
      </c>
      <c r="E13" s="28" t="s">
        <v>35</v>
      </c>
      <c r="F13" s="31">
        <v>0</v>
      </c>
      <c r="G13" s="32" t="s">
        <v>67</v>
      </c>
      <c r="H13" s="30">
        <v>8132122182</v>
      </c>
      <c r="I13" s="30">
        <v>8179289010</v>
      </c>
      <c r="J13" s="66" t="s">
        <v>68</v>
      </c>
      <c r="K13" s="28">
        <v>0</v>
      </c>
      <c r="L13" s="31">
        <v>43118</v>
      </c>
      <c r="M13" s="28" t="s">
        <v>43</v>
      </c>
    </row>
    <row r="14" spans="1:13">
      <c r="A14" s="22">
        <f t="shared" si="0"/>
        <v>5</v>
      </c>
      <c r="B14" s="29" t="s">
        <v>18</v>
      </c>
      <c r="C14" s="30">
        <v>81322260653</v>
      </c>
      <c r="D14" s="28" t="s">
        <v>69</v>
      </c>
      <c r="E14" s="28" t="s">
        <v>35</v>
      </c>
      <c r="F14" s="64">
        <v>25838</v>
      </c>
      <c r="G14" s="32" t="s">
        <v>70</v>
      </c>
      <c r="H14" s="30">
        <v>8122397450</v>
      </c>
      <c r="I14" s="30">
        <v>8122397450</v>
      </c>
      <c r="J14" s="66" t="s">
        <v>71</v>
      </c>
      <c r="K14" s="28">
        <v>0</v>
      </c>
      <c r="L14" s="31">
        <v>43104</v>
      </c>
      <c r="M14" s="28" t="s">
        <v>43</v>
      </c>
    </row>
    <row r="15" spans="1:13">
      <c r="A15" s="22">
        <f t="shared" si="0"/>
        <v>6</v>
      </c>
      <c r="B15" s="29" t="s">
        <v>18</v>
      </c>
      <c r="C15" s="30">
        <v>81322260653</v>
      </c>
      <c r="D15" s="28" t="s">
        <v>84</v>
      </c>
      <c r="E15" s="28" t="s">
        <v>35</v>
      </c>
      <c r="F15" s="31">
        <v>0</v>
      </c>
      <c r="G15" s="32" t="s">
        <v>85</v>
      </c>
      <c r="H15" s="30">
        <v>81283224484</v>
      </c>
      <c r="I15" s="30">
        <v>81283224484</v>
      </c>
      <c r="J15" s="28">
        <v>0</v>
      </c>
      <c r="K15" s="65">
        <v>0</v>
      </c>
      <c r="L15" s="31">
        <v>42767</v>
      </c>
      <c r="M15" s="28" t="s">
        <v>43</v>
      </c>
    </row>
    <row r="16" spans="1:13" ht="27">
      <c r="A16" s="22">
        <f t="shared" si="0"/>
        <v>7</v>
      </c>
      <c r="B16" s="29" t="s">
        <v>18</v>
      </c>
      <c r="C16" s="30">
        <v>81322260653</v>
      </c>
      <c r="D16" s="28" t="s">
        <v>86</v>
      </c>
      <c r="E16" s="28" t="s">
        <v>35</v>
      </c>
      <c r="F16" s="31">
        <v>0</v>
      </c>
      <c r="G16" s="32" t="s">
        <v>87</v>
      </c>
      <c r="H16" s="30">
        <v>0</v>
      </c>
      <c r="I16" s="30">
        <v>85213545977</v>
      </c>
      <c r="J16" s="28">
        <v>0</v>
      </c>
      <c r="K16" s="65">
        <v>0</v>
      </c>
      <c r="L16" s="31">
        <v>43125</v>
      </c>
      <c r="M16" s="28" t="s">
        <v>43</v>
      </c>
    </row>
    <row r="17" spans="1:13" ht="27">
      <c r="A17" s="22">
        <f t="shared" si="0"/>
        <v>8</v>
      </c>
      <c r="B17" s="29" t="s">
        <v>18</v>
      </c>
      <c r="C17" s="30">
        <v>81322260653</v>
      </c>
      <c r="D17" s="28" t="s">
        <v>88</v>
      </c>
      <c r="E17" s="28" t="s">
        <v>35</v>
      </c>
      <c r="F17" s="31">
        <v>0</v>
      </c>
      <c r="G17" s="32" t="s">
        <v>89</v>
      </c>
      <c r="H17" s="30">
        <v>0</v>
      </c>
      <c r="I17" s="30">
        <v>85795673555</v>
      </c>
      <c r="J17" s="28">
        <v>0</v>
      </c>
      <c r="K17" s="65">
        <v>0</v>
      </c>
      <c r="L17" s="31">
        <v>43111</v>
      </c>
      <c r="M17" s="28" t="s">
        <v>43</v>
      </c>
    </row>
    <row r="18" spans="1:13" ht="27">
      <c r="A18" s="22">
        <f t="shared" si="0"/>
        <v>9</v>
      </c>
      <c r="B18" s="29" t="s">
        <v>18</v>
      </c>
      <c r="C18" s="30">
        <v>81322260653</v>
      </c>
      <c r="D18" s="28" t="s">
        <v>91</v>
      </c>
      <c r="E18" s="28" t="s">
        <v>35</v>
      </c>
      <c r="F18" s="31">
        <v>0</v>
      </c>
      <c r="G18" s="32" t="s">
        <v>90</v>
      </c>
      <c r="H18" s="30">
        <v>0</v>
      </c>
      <c r="I18" s="30">
        <v>81395314545</v>
      </c>
      <c r="J18" s="28">
        <v>0</v>
      </c>
      <c r="K18" s="65">
        <v>0</v>
      </c>
      <c r="L18" s="31">
        <v>42746</v>
      </c>
      <c r="M18" s="28" t="s">
        <v>43</v>
      </c>
    </row>
    <row r="19" spans="1:13">
      <c r="A19" s="22">
        <f t="shared" si="0"/>
        <v>10</v>
      </c>
      <c r="B19" s="29" t="s">
        <v>18</v>
      </c>
      <c r="C19" s="30">
        <v>81322260653</v>
      </c>
      <c r="D19" s="28" t="s">
        <v>92</v>
      </c>
      <c r="E19" s="28" t="s">
        <v>35</v>
      </c>
      <c r="F19" s="31">
        <v>0</v>
      </c>
      <c r="G19" s="32" t="s">
        <v>93</v>
      </c>
      <c r="H19" s="30">
        <v>81221616846</v>
      </c>
      <c r="I19" s="30">
        <v>0</v>
      </c>
      <c r="J19" s="28">
        <v>0</v>
      </c>
      <c r="K19" s="65">
        <v>0</v>
      </c>
      <c r="L19" s="31">
        <v>43132</v>
      </c>
      <c r="M19" s="28" t="s">
        <v>43</v>
      </c>
    </row>
    <row r="20" spans="1:13">
      <c r="A20" s="22">
        <f t="shared" si="0"/>
        <v>11</v>
      </c>
      <c r="B20" s="29" t="s">
        <v>18</v>
      </c>
      <c r="C20" s="30">
        <v>81322260653</v>
      </c>
      <c r="D20" s="28" t="s">
        <v>95</v>
      </c>
      <c r="E20" s="28" t="s">
        <v>35</v>
      </c>
      <c r="F20" s="31">
        <v>43304</v>
      </c>
      <c r="G20" s="32" t="s">
        <v>96</v>
      </c>
      <c r="H20" s="30">
        <v>0</v>
      </c>
      <c r="I20" s="30">
        <v>811248495</v>
      </c>
      <c r="J20" s="66" t="s">
        <v>94</v>
      </c>
      <c r="K20" s="65">
        <v>0</v>
      </c>
      <c r="L20" s="31">
        <v>43101</v>
      </c>
      <c r="M20" s="28" t="s">
        <v>43</v>
      </c>
    </row>
    <row r="21" spans="1:13">
      <c r="A21" s="22">
        <f t="shared" si="0"/>
        <v>12</v>
      </c>
      <c r="B21" s="29" t="s">
        <v>18</v>
      </c>
      <c r="C21" s="30">
        <v>81322260653</v>
      </c>
      <c r="D21" s="28" t="s">
        <v>97</v>
      </c>
      <c r="E21" s="28" t="s">
        <v>35</v>
      </c>
      <c r="F21" s="31">
        <v>0</v>
      </c>
      <c r="G21" s="32">
        <v>0</v>
      </c>
      <c r="H21" s="30">
        <v>0</v>
      </c>
      <c r="I21" s="30">
        <v>81320549014</v>
      </c>
      <c r="J21" s="28">
        <v>0</v>
      </c>
      <c r="K21" s="65">
        <v>0</v>
      </c>
      <c r="L21" s="31">
        <v>43104</v>
      </c>
      <c r="M21" s="28" t="s">
        <v>43</v>
      </c>
    </row>
    <row r="22" spans="1:13">
      <c r="A22" s="22">
        <f t="shared" si="0"/>
        <v>13</v>
      </c>
      <c r="B22" s="29" t="s">
        <v>18</v>
      </c>
      <c r="C22" s="30">
        <v>81322260653</v>
      </c>
      <c r="D22" s="28" t="s">
        <v>103</v>
      </c>
      <c r="E22" s="28" t="s">
        <v>45</v>
      </c>
      <c r="F22" s="31">
        <v>0</v>
      </c>
      <c r="G22" s="32" t="s">
        <v>104</v>
      </c>
      <c r="H22" s="30">
        <v>0</v>
      </c>
      <c r="I22" s="30">
        <v>0</v>
      </c>
      <c r="J22" s="74">
        <v>0</v>
      </c>
      <c r="K22" s="75">
        <v>0</v>
      </c>
      <c r="L22" s="31">
        <v>43139</v>
      </c>
      <c r="M22" s="28" t="s">
        <v>43</v>
      </c>
    </row>
    <row r="23" spans="1:13">
      <c r="A23" s="22">
        <f t="shared" si="0"/>
        <v>14</v>
      </c>
      <c r="B23" s="29" t="s">
        <v>18</v>
      </c>
      <c r="C23" s="30">
        <v>81322260653</v>
      </c>
      <c r="D23" s="28" t="s">
        <v>105</v>
      </c>
      <c r="E23" s="28" t="s">
        <v>35</v>
      </c>
      <c r="F23" s="31">
        <v>0</v>
      </c>
      <c r="G23" s="32" t="s">
        <v>106</v>
      </c>
      <c r="H23" s="30">
        <v>0</v>
      </c>
      <c r="I23" s="30">
        <v>87722668801</v>
      </c>
      <c r="J23" s="28">
        <v>0</v>
      </c>
      <c r="K23" s="65">
        <v>0</v>
      </c>
      <c r="L23" s="31">
        <v>43139</v>
      </c>
      <c r="M23" s="28" t="s">
        <v>43</v>
      </c>
    </row>
    <row r="24" spans="1:13">
      <c r="A24" s="22" t="str">
        <f t="shared" si="0"/>
        <v/>
      </c>
      <c r="B24" s="29"/>
      <c r="C24" s="30"/>
      <c r="D24" s="28"/>
      <c r="E24" s="28"/>
      <c r="F24" s="31"/>
      <c r="G24" s="32"/>
      <c r="H24" s="30"/>
      <c r="I24" s="30"/>
      <c r="J24" s="28"/>
      <c r="K24" s="65"/>
      <c r="L24" s="31"/>
      <c r="M24" s="28"/>
    </row>
    <row r="25" spans="1:13">
      <c r="A25" s="22" t="str">
        <f t="shared" si="0"/>
        <v/>
      </c>
      <c r="B25" s="29"/>
      <c r="C25" s="30"/>
      <c r="D25" s="28"/>
      <c r="E25" s="28"/>
      <c r="F25" s="31"/>
      <c r="G25" s="32"/>
      <c r="H25" s="30"/>
      <c r="I25" s="30"/>
      <c r="J25" s="28"/>
      <c r="K25" s="65"/>
      <c r="L25" s="31"/>
      <c r="M25" s="28"/>
    </row>
    <row r="26" spans="1:13">
      <c r="A26" s="22" t="str">
        <f t="shared" si="0"/>
        <v/>
      </c>
      <c r="B26" s="29"/>
      <c r="C26" s="30"/>
      <c r="D26" s="28"/>
      <c r="E26" s="28"/>
      <c r="F26" s="31"/>
      <c r="G26" s="32"/>
      <c r="H26" s="30"/>
      <c r="I26" s="30"/>
      <c r="J26" s="28"/>
      <c r="K26" s="65"/>
      <c r="L26" s="31"/>
      <c r="M26" s="28"/>
    </row>
    <row r="27" spans="1:13">
      <c r="A27" s="22" t="str">
        <f t="shared" si="0"/>
        <v/>
      </c>
      <c r="B27" s="29"/>
      <c r="C27" s="30"/>
      <c r="D27" s="28"/>
      <c r="E27" s="28"/>
      <c r="F27" s="31"/>
      <c r="G27" s="32"/>
      <c r="H27" s="30"/>
      <c r="I27" s="30"/>
      <c r="J27" s="28"/>
      <c r="K27" s="65"/>
      <c r="L27" s="31"/>
      <c r="M27" s="28"/>
    </row>
    <row r="28" spans="1:13">
      <c r="A28" s="22" t="str">
        <f t="shared" si="0"/>
        <v/>
      </c>
      <c r="B28" s="29"/>
      <c r="C28" s="30"/>
      <c r="D28" s="28"/>
      <c r="E28" s="28"/>
      <c r="F28" s="31"/>
      <c r="G28" s="32"/>
      <c r="H28" s="30"/>
      <c r="I28" s="30"/>
      <c r="J28" s="28"/>
      <c r="K28" s="65"/>
      <c r="L28" s="31"/>
      <c r="M28" s="28"/>
    </row>
    <row r="29" spans="1:13">
      <c r="A29" s="22" t="str">
        <f t="shared" si="0"/>
        <v/>
      </c>
      <c r="B29" s="29"/>
      <c r="C29" s="30"/>
      <c r="D29" s="28"/>
      <c r="E29" s="28"/>
      <c r="F29" s="31"/>
      <c r="G29" s="32"/>
      <c r="H29" s="30"/>
      <c r="I29" s="30"/>
      <c r="J29" s="28"/>
      <c r="K29" s="65"/>
      <c r="L29" s="31"/>
      <c r="M29" s="28"/>
    </row>
    <row r="30" spans="1:13">
      <c r="A30" s="22" t="str">
        <f t="shared" si="0"/>
        <v/>
      </c>
      <c r="B30" s="29"/>
      <c r="C30" s="30"/>
      <c r="D30" s="28"/>
      <c r="E30" s="28"/>
      <c r="F30" s="31"/>
      <c r="G30" s="32"/>
      <c r="H30" s="30"/>
      <c r="I30" s="30"/>
      <c r="J30" s="28"/>
      <c r="K30" s="65"/>
      <c r="L30" s="31"/>
      <c r="M30" s="28"/>
    </row>
    <row r="31" spans="1:13">
      <c r="A31" s="22" t="str">
        <f t="shared" si="0"/>
        <v/>
      </c>
      <c r="B31" s="29"/>
      <c r="C31" s="30"/>
      <c r="D31" s="28"/>
      <c r="E31" s="28"/>
      <c r="F31" s="31"/>
      <c r="G31" s="32"/>
      <c r="H31" s="30"/>
      <c r="I31" s="30"/>
      <c r="J31" s="28"/>
      <c r="K31" s="65"/>
      <c r="L31" s="31"/>
      <c r="M31" s="28"/>
    </row>
    <row r="32" spans="1:13">
      <c r="A32" s="22" t="str">
        <f t="shared" si="0"/>
        <v/>
      </c>
      <c r="B32" s="29"/>
      <c r="C32" s="30"/>
      <c r="D32" s="28"/>
      <c r="E32" s="28"/>
      <c r="F32" s="31"/>
      <c r="G32" s="32"/>
      <c r="H32" s="30"/>
      <c r="I32" s="30"/>
      <c r="J32" s="28"/>
      <c r="K32" s="65"/>
      <c r="L32" s="31"/>
      <c r="M32" s="28"/>
    </row>
    <row r="33" spans="1:13">
      <c r="A33" s="22" t="str">
        <f t="shared" si="0"/>
        <v/>
      </c>
      <c r="B33" s="29"/>
      <c r="C33" s="30"/>
      <c r="D33" s="28"/>
      <c r="E33" s="28"/>
      <c r="F33" s="31"/>
      <c r="G33" s="32"/>
      <c r="H33" s="30"/>
      <c r="I33" s="30"/>
      <c r="J33" s="28"/>
      <c r="K33" s="65"/>
      <c r="L33" s="31"/>
      <c r="M33" s="28"/>
    </row>
    <row r="34" spans="1:13">
      <c r="A34" s="22" t="str">
        <f t="shared" si="0"/>
        <v/>
      </c>
    </row>
    <row r="35" spans="1:13">
      <c r="A35" s="22" t="str">
        <f t="shared" si="0"/>
        <v/>
      </c>
    </row>
    <row r="36" spans="1:13">
      <c r="A36" s="22" t="str">
        <f t="shared" si="0"/>
        <v/>
      </c>
    </row>
    <row r="37" spans="1:13">
      <c r="A37" s="22" t="str">
        <f t="shared" si="0"/>
        <v/>
      </c>
    </row>
    <row r="38" spans="1:13">
      <c r="A38" s="22" t="str">
        <f t="shared" si="0"/>
        <v/>
      </c>
    </row>
    <row r="39" spans="1:13">
      <c r="A39" s="22" t="str">
        <f t="shared" si="0"/>
        <v/>
      </c>
    </row>
    <row r="40" spans="1:13">
      <c r="A40" s="22" t="str">
        <f t="shared" si="0"/>
        <v/>
      </c>
    </row>
    <row r="41" spans="1:13">
      <c r="A41" s="22" t="str">
        <f t="shared" si="0"/>
        <v/>
      </c>
    </row>
    <row r="42" spans="1:13">
      <c r="A42" s="22" t="str">
        <f t="shared" si="0"/>
        <v/>
      </c>
    </row>
    <row r="43" spans="1:13">
      <c r="A43" s="22" t="str">
        <f t="shared" si="0"/>
        <v/>
      </c>
    </row>
    <row r="44" spans="1:13">
      <c r="A44" s="22" t="str">
        <f t="shared" si="0"/>
        <v/>
      </c>
    </row>
    <row r="45" spans="1:13">
      <c r="A45" s="22" t="str">
        <f t="shared" si="0"/>
        <v/>
      </c>
    </row>
    <row r="46" spans="1:13">
      <c r="A46" s="22" t="str">
        <f t="shared" si="0"/>
        <v/>
      </c>
    </row>
    <row r="47" spans="1:13">
      <c r="A47" s="22" t="str">
        <f t="shared" si="0"/>
        <v/>
      </c>
    </row>
    <row r="48" spans="1:13">
      <c r="A48" s="22" t="str">
        <f t="shared" si="0"/>
        <v/>
      </c>
    </row>
    <row r="49" spans="1:1">
      <c r="A49" s="22" t="str">
        <f t="shared" si="0"/>
        <v/>
      </c>
    </row>
    <row r="50" spans="1:1">
      <c r="A50" s="22" t="str">
        <f t="shared" si="0"/>
        <v/>
      </c>
    </row>
    <row r="51" spans="1:1">
      <c r="A51" s="22" t="str">
        <f t="shared" si="0"/>
        <v/>
      </c>
    </row>
    <row r="52" spans="1:1">
      <c r="A52" s="22" t="str">
        <f t="shared" si="0"/>
        <v/>
      </c>
    </row>
    <row r="53" spans="1:1">
      <c r="A53" s="22" t="str">
        <f t="shared" si="0"/>
        <v/>
      </c>
    </row>
    <row r="54" spans="1:1">
      <c r="A54" s="22" t="str">
        <f t="shared" si="0"/>
        <v/>
      </c>
    </row>
    <row r="55" spans="1:1">
      <c r="A55" s="22" t="str">
        <f t="shared" si="0"/>
        <v/>
      </c>
    </row>
    <row r="56" spans="1:1">
      <c r="A56" s="22" t="str">
        <f t="shared" si="0"/>
        <v/>
      </c>
    </row>
    <row r="57" spans="1:1">
      <c r="A57" s="22" t="str">
        <f t="shared" si="0"/>
        <v/>
      </c>
    </row>
    <row r="58" spans="1:1">
      <c r="A58" s="22" t="str">
        <f t="shared" si="0"/>
        <v/>
      </c>
    </row>
    <row r="59" spans="1:1">
      <c r="A59" s="22" t="str">
        <f t="shared" si="0"/>
        <v/>
      </c>
    </row>
    <row r="60" spans="1:1">
      <c r="A60" s="22" t="str">
        <f t="shared" si="0"/>
        <v/>
      </c>
    </row>
    <row r="61" spans="1:1">
      <c r="A61" s="22" t="str">
        <f t="shared" si="0"/>
        <v/>
      </c>
    </row>
    <row r="62" spans="1:1">
      <c r="A62" s="22" t="str">
        <f t="shared" si="0"/>
        <v/>
      </c>
    </row>
    <row r="63" spans="1:1">
      <c r="A63" s="22" t="str">
        <f t="shared" si="0"/>
        <v/>
      </c>
    </row>
    <row r="64" spans="1:1">
      <c r="A64" s="22" t="str">
        <f t="shared" si="0"/>
        <v/>
      </c>
    </row>
    <row r="65" spans="1:1">
      <c r="A65" s="22" t="str">
        <f t="shared" si="0"/>
        <v/>
      </c>
    </row>
    <row r="66" spans="1:1">
      <c r="A66" s="22" t="str">
        <f t="shared" si="0"/>
        <v/>
      </c>
    </row>
    <row r="67" spans="1:1">
      <c r="A67" s="22" t="str">
        <f t="shared" si="0"/>
        <v/>
      </c>
    </row>
    <row r="68" spans="1:1">
      <c r="A68" s="22" t="str">
        <f t="shared" si="0"/>
        <v/>
      </c>
    </row>
    <row r="69" spans="1:1">
      <c r="A69" s="22" t="str">
        <f t="shared" si="0"/>
        <v/>
      </c>
    </row>
    <row r="70" spans="1:1">
      <c r="A70" s="22" t="str">
        <f t="shared" si="0"/>
        <v/>
      </c>
    </row>
    <row r="71" spans="1:1">
      <c r="A71" s="22" t="str">
        <f t="shared" si="0"/>
        <v/>
      </c>
    </row>
    <row r="72" spans="1:1">
      <c r="A72" s="22" t="str">
        <f t="shared" si="0"/>
        <v/>
      </c>
    </row>
    <row r="73" spans="1:1">
      <c r="A73" s="22" t="str">
        <f t="shared" si="0"/>
        <v/>
      </c>
    </row>
    <row r="74" spans="1:1">
      <c r="A74" s="22" t="str">
        <f t="shared" ref="A74:A137" si="1">IF(LEN(B74)&lt;&gt;0,ROW()-9,"")</f>
        <v/>
      </c>
    </row>
    <row r="75" spans="1:1">
      <c r="A75" s="22" t="str">
        <f t="shared" si="1"/>
        <v/>
      </c>
    </row>
    <row r="76" spans="1:1">
      <c r="A76" s="22" t="str">
        <f t="shared" si="1"/>
        <v/>
      </c>
    </row>
    <row r="77" spans="1:1">
      <c r="A77" s="22" t="str">
        <f t="shared" si="1"/>
        <v/>
      </c>
    </row>
    <row r="78" spans="1:1">
      <c r="A78" s="22" t="str">
        <f t="shared" si="1"/>
        <v/>
      </c>
    </row>
    <row r="79" spans="1:1">
      <c r="A79" s="22" t="str">
        <f t="shared" si="1"/>
        <v/>
      </c>
    </row>
    <row r="80" spans="1:1">
      <c r="A80" s="22" t="str">
        <f t="shared" si="1"/>
        <v/>
      </c>
    </row>
    <row r="81" spans="1:1">
      <c r="A81" s="22" t="str">
        <f t="shared" si="1"/>
        <v/>
      </c>
    </row>
    <row r="82" spans="1:1">
      <c r="A82" s="22" t="str">
        <f t="shared" si="1"/>
        <v/>
      </c>
    </row>
    <row r="83" spans="1:1">
      <c r="A83" s="22" t="str">
        <f t="shared" si="1"/>
        <v/>
      </c>
    </row>
    <row r="84" spans="1:1">
      <c r="A84" s="22" t="str">
        <f t="shared" si="1"/>
        <v/>
      </c>
    </row>
    <row r="85" spans="1:1">
      <c r="A85" s="22" t="str">
        <f t="shared" si="1"/>
        <v/>
      </c>
    </row>
    <row r="86" spans="1:1">
      <c r="A86" s="22" t="str">
        <f t="shared" si="1"/>
        <v/>
      </c>
    </row>
    <row r="87" spans="1:1">
      <c r="A87" s="22" t="str">
        <f t="shared" si="1"/>
        <v/>
      </c>
    </row>
    <row r="88" spans="1:1">
      <c r="A88" s="22" t="str">
        <f t="shared" si="1"/>
        <v/>
      </c>
    </row>
    <row r="89" spans="1:1">
      <c r="A89" s="22" t="str">
        <f t="shared" si="1"/>
        <v/>
      </c>
    </row>
    <row r="90" spans="1:1">
      <c r="A90" s="22" t="str">
        <f t="shared" si="1"/>
        <v/>
      </c>
    </row>
    <row r="91" spans="1:1">
      <c r="A91" s="22" t="str">
        <f t="shared" si="1"/>
        <v/>
      </c>
    </row>
    <row r="92" spans="1:1">
      <c r="A92" s="22" t="str">
        <f t="shared" si="1"/>
        <v/>
      </c>
    </row>
    <row r="93" spans="1:1">
      <c r="A93" s="22" t="str">
        <f t="shared" si="1"/>
        <v/>
      </c>
    </row>
    <row r="94" spans="1:1">
      <c r="A94" s="22" t="str">
        <f t="shared" si="1"/>
        <v/>
      </c>
    </row>
    <row r="95" spans="1:1">
      <c r="A95" s="22" t="str">
        <f t="shared" si="1"/>
        <v/>
      </c>
    </row>
    <row r="96" spans="1:1">
      <c r="A96" s="22" t="str">
        <f t="shared" si="1"/>
        <v/>
      </c>
    </row>
    <row r="97" spans="1:1">
      <c r="A97" s="22" t="str">
        <f t="shared" si="1"/>
        <v/>
      </c>
    </row>
    <row r="98" spans="1:1">
      <c r="A98" s="22" t="str">
        <f t="shared" si="1"/>
        <v/>
      </c>
    </row>
    <row r="99" spans="1:1">
      <c r="A99" s="22" t="str">
        <f t="shared" si="1"/>
        <v/>
      </c>
    </row>
    <row r="100" spans="1:1">
      <c r="A100" s="22" t="str">
        <f t="shared" si="1"/>
        <v/>
      </c>
    </row>
    <row r="101" spans="1:1">
      <c r="A101" s="22" t="str">
        <f t="shared" si="1"/>
        <v/>
      </c>
    </row>
    <row r="102" spans="1:1">
      <c r="A102" s="22" t="str">
        <f t="shared" si="1"/>
        <v/>
      </c>
    </row>
    <row r="103" spans="1:1">
      <c r="A103" s="22" t="str">
        <f t="shared" si="1"/>
        <v/>
      </c>
    </row>
    <row r="104" spans="1:1">
      <c r="A104" s="22" t="str">
        <f t="shared" si="1"/>
        <v/>
      </c>
    </row>
    <row r="105" spans="1:1">
      <c r="A105" s="22" t="str">
        <f t="shared" si="1"/>
        <v/>
      </c>
    </row>
    <row r="106" spans="1:1">
      <c r="A106" s="22" t="str">
        <f t="shared" si="1"/>
        <v/>
      </c>
    </row>
    <row r="107" spans="1:1">
      <c r="A107" s="22" t="str">
        <f t="shared" si="1"/>
        <v/>
      </c>
    </row>
    <row r="108" spans="1:1">
      <c r="A108" s="22" t="str">
        <f t="shared" si="1"/>
        <v/>
      </c>
    </row>
    <row r="109" spans="1:1">
      <c r="A109" s="22" t="str">
        <f t="shared" si="1"/>
        <v/>
      </c>
    </row>
    <row r="110" spans="1:1">
      <c r="A110" s="22" t="str">
        <f t="shared" si="1"/>
        <v/>
      </c>
    </row>
    <row r="111" spans="1:1">
      <c r="A111" s="22" t="str">
        <f t="shared" si="1"/>
        <v/>
      </c>
    </row>
    <row r="112" spans="1:1">
      <c r="A112" s="22" t="str">
        <f t="shared" si="1"/>
        <v/>
      </c>
    </row>
    <row r="113" spans="1:1">
      <c r="A113" s="22" t="str">
        <f t="shared" si="1"/>
        <v/>
      </c>
    </row>
    <row r="114" spans="1:1">
      <c r="A114" s="22" t="str">
        <f t="shared" si="1"/>
        <v/>
      </c>
    </row>
    <row r="115" spans="1:1">
      <c r="A115" s="22" t="str">
        <f t="shared" si="1"/>
        <v/>
      </c>
    </row>
    <row r="116" spans="1:1">
      <c r="A116" s="22" t="str">
        <f t="shared" si="1"/>
        <v/>
      </c>
    </row>
    <row r="117" spans="1:1">
      <c r="A117" s="22" t="str">
        <f t="shared" si="1"/>
        <v/>
      </c>
    </row>
    <row r="118" spans="1:1">
      <c r="A118" s="22" t="str">
        <f t="shared" si="1"/>
        <v/>
      </c>
    </row>
    <row r="119" spans="1:1">
      <c r="A119" s="22" t="str">
        <f t="shared" si="1"/>
        <v/>
      </c>
    </row>
    <row r="120" spans="1:1">
      <c r="A120" s="22" t="str">
        <f t="shared" si="1"/>
        <v/>
      </c>
    </row>
    <row r="121" spans="1:1">
      <c r="A121" s="22" t="str">
        <f t="shared" si="1"/>
        <v/>
      </c>
    </row>
    <row r="122" spans="1:1">
      <c r="A122" s="22" t="str">
        <f t="shared" si="1"/>
        <v/>
      </c>
    </row>
    <row r="123" spans="1:1">
      <c r="A123" s="22" t="str">
        <f t="shared" si="1"/>
        <v/>
      </c>
    </row>
    <row r="124" spans="1:1">
      <c r="A124" s="22" t="str">
        <f t="shared" si="1"/>
        <v/>
      </c>
    </row>
    <row r="125" spans="1:1">
      <c r="A125" s="22" t="str">
        <f t="shared" si="1"/>
        <v/>
      </c>
    </row>
    <row r="126" spans="1:1">
      <c r="A126" s="22" t="str">
        <f t="shared" si="1"/>
        <v/>
      </c>
    </row>
    <row r="127" spans="1:1">
      <c r="A127" s="22" t="str">
        <f t="shared" si="1"/>
        <v/>
      </c>
    </row>
    <row r="128" spans="1:1">
      <c r="A128" s="22" t="str">
        <f t="shared" si="1"/>
        <v/>
      </c>
    </row>
    <row r="129" spans="1:1">
      <c r="A129" s="22" t="str">
        <f t="shared" si="1"/>
        <v/>
      </c>
    </row>
    <row r="130" spans="1:1">
      <c r="A130" s="22" t="str">
        <f t="shared" si="1"/>
        <v/>
      </c>
    </row>
    <row r="131" spans="1:1">
      <c r="A131" s="22" t="str">
        <f t="shared" si="1"/>
        <v/>
      </c>
    </row>
    <row r="132" spans="1:1">
      <c r="A132" s="22" t="str">
        <f t="shared" si="1"/>
        <v/>
      </c>
    </row>
    <row r="133" spans="1:1">
      <c r="A133" s="22" t="str">
        <f t="shared" si="1"/>
        <v/>
      </c>
    </row>
    <row r="134" spans="1:1">
      <c r="A134" s="22" t="str">
        <f t="shared" si="1"/>
        <v/>
      </c>
    </row>
    <row r="135" spans="1:1">
      <c r="A135" s="22" t="str">
        <f t="shared" si="1"/>
        <v/>
      </c>
    </row>
    <row r="136" spans="1:1">
      <c r="A136" s="22" t="str">
        <f t="shared" si="1"/>
        <v/>
      </c>
    </row>
    <row r="137" spans="1:1">
      <c r="A137" s="22" t="str">
        <f t="shared" si="1"/>
        <v/>
      </c>
    </row>
    <row r="138" spans="1:1">
      <c r="A138" s="22" t="str">
        <f t="shared" ref="A138:A201" si="2">IF(LEN(B138)&lt;&gt;0,ROW()-9,"")</f>
        <v/>
      </c>
    </row>
    <row r="139" spans="1:1">
      <c r="A139" s="22" t="str">
        <f t="shared" si="2"/>
        <v/>
      </c>
    </row>
    <row r="140" spans="1:1">
      <c r="A140" s="22" t="str">
        <f t="shared" si="2"/>
        <v/>
      </c>
    </row>
    <row r="141" spans="1:1">
      <c r="A141" s="22" t="str">
        <f t="shared" si="2"/>
        <v/>
      </c>
    </row>
    <row r="142" spans="1:1">
      <c r="A142" s="22" t="str">
        <f t="shared" si="2"/>
        <v/>
      </c>
    </row>
    <row r="143" spans="1:1">
      <c r="A143" s="22" t="str">
        <f t="shared" si="2"/>
        <v/>
      </c>
    </row>
    <row r="144" spans="1:1">
      <c r="A144" s="22" t="str">
        <f t="shared" si="2"/>
        <v/>
      </c>
    </row>
    <row r="145" spans="1:1">
      <c r="A145" s="22" t="str">
        <f t="shared" si="2"/>
        <v/>
      </c>
    </row>
    <row r="146" spans="1:1">
      <c r="A146" s="22" t="str">
        <f t="shared" si="2"/>
        <v/>
      </c>
    </row>
    <row r="147" spans="1:1">
      <c r="A147" s="22" t="str">
        <f t="shared" si="2"/>
        <v/>
      </c>
    </row>
    <row r="148" spans="1:1">
      <c r="A148" s="22" t="str">
        <f t="shared" si="2"/>
        <v/>
      </c>
    </row>
    <row r="149" spans="1:1">
      <c r="A149" s="22" t="str">
        <f t="shared" si="2"/>
        <v/>
      </c>
    </row>
    <row r="150" spans="1:1">
      <c r="A150" s="22" t="str">
        <f t="shared" si="2"/>
        <v/>
      </c>
    </row>
    <row r="151" spans="1:1">
      <c r="A151" s="22" t="str">
        <f t="shared" si="2"/>
        <v/>
      </c>
    </row>
    <row r="152" spans="1:1">
      <c r="A152" s="22" t="str">
        <f t="shared" si="2"/>
        <v/>
      </c>
    </row>
    <row r="153" spans="1:1">
      <c r="A153" s="22" t="str">
        <f t="shared" si="2"/>
        <v/>
      </c>
    </row>
    <row r="154" spans="1:1">
      <c r="A154" s="22" t="str">
        <f t="shared" si="2"/>
        <v/>
      </c>
    </row>
    <row r="155" spans="1:1">
      <c r="A155" s="22" t="str">
        <f t="shared" si="2"/>
        <v/>
      </c>
    </row>
    <row r="156" spans="1:1">
      <c r="A156" s="22" t="str">
        <f t="shared" si="2"/>
        <v/>
      </c>
    </row>
    <row r="157" spans="1:1">
      <c r="A157" s="22" t="str">
        <f t="shared" si="2"/>
        <v/>
      </c>
    </row>
    <row r="158" spans="1:1">
      <c r="A158" s="22" t="str">
        <f t="shared" si="2"/>
        <v/>
      </c>
    </row>
    <row r="159" spans="1:1">
      <c r="A159" s="22" t="str">
        <f t="shared" si="2"/>
        <v/>
      </c>
    </row>
    <row r="160" spans="1:1">
      <c r="A160" s="22" t="str">
        <f t="shared" si="2"/>
        <v/>
      </c>
    </row>
    <row r="161" spans="1:1">
      <c r="A161" s="22" t="str">
        <f t="shared" si="2"/>
        <v/>
      </c>
    </row>
    <row r="162" spans="1:1">
      <c r="A162" s="22" t="str">
        <f t="shared" si="2"/>
        <v/>
      </c>
    </row>
    <row r="163" spans="1:1">
      <c r="A163" s="22" t="str">
        <f t="shared" si="2"/>
        <v/>
      </c>
    </row>
    <row r="164" spans="1:1">
      <c r="A164" s="22" t="str">
        <f t="shared" si="2"/>
        <v/>
      </c>
    </row>
    <row r="165" spans="1:1">
      <c r="A165" s="22" t="str">
        <f t="shared" si="2"/>
        <v/>
      </c>
    </row>
    <row r="166" spans="1:1">
      <c r="A166" s="22" t="str">
        <f t="shared" si="2"/>
        <v/>
      </c>
    </row>
    <row r="167" spans="1:1">
      <c r="A167" s="22" t="str">
        <f t="shared" si="2"/>
        <v/>
      </c>
    </row>
    <row r="168" spans="1:1">
      <c r="A168" s="22" t="str">
        <f t="shared" si="2"/>
        <v/>
      </c>
    </row>
    <row r="169" spans="1:1">
      <c r="A169" s="22" t="str">
        <f t="shared" si="2"/>
        <v/>
      </c>
    </row>
    <row r="170" spans="1:1">
      <c r="A170" s="22" t="str">
        <f t="shared" si="2"/>
        <v/>
      </c>
    </row>
    <row r="171" spans="1:1">
      <c r="A171" s="22" t="str">
        <f t="shared" si="2"/>
        <v/>
      </c>
    </row>
    <row r="172" spans="1:1">
      <c r="A172" s="22" t="str">
        <f t="shared" si="2"/>
        <v/>
      </c>
    </row>
    <row r="173" spans="1:1">
      <c r="A173" s="22" t="str">
        <f t="shared" si="2"/>
        <v/>
      </c>
    </row>
    <row r="174" spans="1:1">
      <c r="A174" s="22" t="str">
        <f t="shared" si="2"/>
        <v/>
      </c>
    </row>
    <row r="175" spans="1:1">
      <c r="A175" s="22" t="str">
        <f t="shared" si="2"/>
        <v/>
      </c>
    </row>
    <row r="176" spans="1:1">
      <c r="A176" s="22" t="str">
        <f t="shared" si="2"/>
        <v/>
      </c>
    </row>
    <row r="177" spans="1:1">
      <c r="A177" s="22" t="str">
        <f t="shared" si="2"/>
        <v/>
      </c>
    </row>
    <row r="178" spans="1:1">
      <c r="A178" s="22" t="str">
        <f t="shared" si="2"/>
        <v/>
      </c>
    </row>
    <row r="179" spans="1:1">
      <c r="A179" s="22" t="str">
        <f t="shared" si="2"/>
        <v/>
      </c>
    </row>
    <row r="180" spans="1:1">
      <c r="A180" s="22" t="str">
        <f t="shared" si="2"/>
        <v/>
      </c>
    </row>
    <row r="181" spans="1:1">
      <c r="A181" s="22" t="str">
        <f t="shared" si="2"/>
        <v/>
      </c>
    </row>
    <row r="182" spans="1:1">
      <c r="A182" s="22" t="str">
        <f t="shared" si="2"/>
        <v/>
      </c>
    </row>
    <row r="183" spans="1:1">
      <c r="A183" s="22" t="str">
        <f t="shared" si="2"/>
        <v/>
      </c>
    </row>
    <row r="184" spans="1:1">
      <c r="A184" s="22" t="str">
        <f t="shared" si="2"/>
        <v/>
      </c>
    </row>
    <row r="185" spans="1:1">
      <c r="A185" s="22" t="str">
        <f t="shared" si="2"/>
        <v/>
      </c>
    </row>
    <row r="186" spans="1:1">
      <c r="A186" s="22" t="str">
        <f t="shared" si="2"/>
        <v/>
      </c>
    </row>
    <row r="187" spans="1:1">
      <c r="A187" s="22" t="str">
        <f t="shared" si="2"/>
        <v/>
      </c>
    </row>
    <row r="188" spans="1:1">
      <c r="A188" s="22" t="str">
        <f t="shared" si="2"/>
        <v/>
      </c>
    </row>
    <row r="189" spans="1:1">
      <c r="A189" s="22" t="str">
        <f t="shared" si="2"/>
        <v/>
      </c>
    </row>
    <row r="190" spans="1:1">
      <c r="A190" s="22" t="str">
        <f t="shared" si="2"/>
        <v/>
      </c>
    </row>
    <row r="191" spans="1:1">
      <c r="A191" s="22" t="str">
        <f t="shared" si="2"/>
        <v/>
      </c>
    </row>
    <row r="192" spans="1:1">
      <c r="A192" s="22" t="str">
        <f t="shared" si="2"/>
        <v/>
      </c>
    </row>
    <row r="193" spans="1:1">
      <c r="A193" s="22" t="str">
        <f t="shared" si="2"/>
        <v/>
      </c>
    </row>
    <row r="194" spans="1:1">
      <c r="A194" s="22" t="str">
        <f t="shared" si="2"/>
        <v/>
      </c>
    </row>
    <row r="195" spans="1:1">
      <c r="A195" s="22" t="str">
        <f t="shared" si="2"/>
        <v/>
      </c>
    </row>
    <row r="196" spans="1:1">
      <c r="A196" s="22" t="str">
        <f t="shared" si="2"/>
        <v/>
      </c>
    </row>
    <row r="197" spans="1:1">
      <c r="A197" s="22" t="str">
        <f t="shared" si="2"/>
        <v/>
      </c>
    </row>
    <row r="198" spans="1:1">
      <c r="A198" s="22" t="str">
        <f t="shared" si="2"/>
        <v/>
      </c>
    </row>
    <row r="199" spans="1:1">
      <c r="A199" s="22" t="str">
        <f t="shared" si="2"/>
        <v/>
      </c>
    </row>
    <row r="200" spans="1:1">
      <c r="A200" s="22" t="str">
        <f t="shared" si="2"/>
        <v/>
      </c>
    </row>
    <row r="201" spans="1:1">
      <c r="A201" s="22" t="str">
        <f t="shared" si="2"/>
        <v/>
      </c>
    </row>
    <row r="202" spans="1:1">
      <c r="A202" s="22" t="str">
        <f t="shared" ref="A202:A265" si="3">IF(LEN(B202)&lt;&gt;0,ROW()-9,"")</f>
        <v/>
      </c>
    </row>
    <row r="203" spans="1:1">
      <c r="A203" s="22" t="str">
        <f t="shared" si="3"/>
        <v/>
      </c>
    </row>
    <row r="204" spans="1:1">
      <c r="A204" s="22" t="str">
        <f t="shared" si="3"/>
        <v/>
      </c>
    </row>
    <row r="205" spans="1:1">
      <c r="A205" s="22" t="str">
        <f t="shared" si="3"/>
        <v/>
      </c>
    </row>
    <row r="206" spans="1:1">
      <c r="A206" s="22" t="str">
        <f t="shared" si="3"/>
        <v/>
      </c>
    </row>
    <row r="207" spans="1:1">
      <c r="A207" s="22" t="str">
        <f t="shared" si="3"/>
        <v/>
      </c>
    </row>
    <row r="208" spans="1:1">
      <c r="A208" s="22" t="str">
        <f t="shared" si="3"/>
        <v/>
      </c>
    </row>
    <row r="209" spans="1:1">
      <c r="A209" s="22" t="str">
        <f t="shared" si="3"/>
        <v/>
      </c>
    </row>
    <row r="210" spans="1:1">
      <c r="A210" s="22" t="str">
        <f t="shared" si="3"/>
        <v/>
      </c>
    </row>
    <row r="211" spans="1:1">
      <c r="A211" s="22" t="str">
        <f t="shared" si="3"/>
        <v/>
      </c>
    </row>
    <row r="212" spans="1:1">
      <c r="A212" s="22" t="str">
        <f t="shared" si="3"/>
        <v/>
      </c>
    </row>
    <row r="213" spans="1:1">
      <c r="A213" s="22" t="str">
        <f t="shared" si="3"/>
        <v/>
      </c>
    </row>
    <row r="214" spans="1:1">
      <c r="A214" s="22" t="str">
        <f t="shared" si="3"/>
        <v/>
      </c>
    </row>
    <row r="215" spans="1:1">
      <c r="A215" s="22" t="str">
        <f t="shared" si="3"/>
        <v/>
      </c>
    </row>
    <row r="216" spans="1:1">
      <c r="A216" s="22" t="str">
        <f t="shared" si="3"/>
        <v/>
      </c>
    </row>
    <row r="217" spans="1:1">
      <c r="A217" s="22" t="str">
        <f t="shared" si="3"/>
        <v/>
      </c>
    </row>
    <row r="218" spans="1:1">
      <c r="A218" s="22" t="str">
        <f t="shared" si="3"/>
        <v/>
      </c>
    </row>
    <row r="219" spans="1:1">
      <c r="A219" s="22" t="str">
        <f t="shared" si="3"/>
        <v/>
      </c>
    </row>
    <row r="220" spans="1:1">
      <c r="A220" s="22" t="str">
        <f t="shared" si="3"/>
        <v/>
      </c>
    </row>
    <row r="221" spans="1:1">
      <c r="A221" s="22" t="str">
        <f t="shared" si="3"/>
        <v/>
      </c>
    </row>
    <row r="222" spans="1:1">
      <c r="A222" s="22" t="str">
        <f t="shared" si="3"/>
        <v/>
      </c>
    </row>
    <row r="223" spans="1:1">
      <c r="A223" s="22" t="str">
        <f t="shared" si="3"/>
        <v/>
      </c>
    </row>
    <row r="224" spans="1:1">
      <c r="A224" s="22" t="str">
        <f t="shared" si="3"/>
        <v/>
      </c>
    </row>
    <row r="225" spans="1:1">
      <c r="A225" s="22" t="str">
        <f t="shared" si="3"/>
        <v/>
      </c>
    </row>
    <row r="226" spans="1:1">
      <c r="A226" s="22" t="str">
        <f t="shared" si="3"/>
        <v/>
      </c>
    </row>
    <row r="227" spans="1:1">
      <c r="A227" s="22" t="str">
        <f t="shared" si="3"/>
        <v/>
      </c>
    </row>
    <row r="228" spans="1:1">
      <c r="A228" s="22" t="str">
        <f t="shared" si="3"/>
        <v/>
      </c>
    </row>
    <row r="229" spans="1:1">
      <c r="A229" s="22" t="str">
        <f t="shared" si="3"/>
        <v/>
      </c>
    </row>
    <row r="230" spans="1:1">
      <c r="A230" s="22" t="str">
        <f t="shared" si="3"/>
        <v/>
      </c>
    </row>
    <row r="231" spans="1:1">
      <c r="A231" s="22" t="str">
        <f t="shared" si="3"/>
        <v/>
      </c>
    </row>
    <row r="232" spans="1:1">
      <c r="A232" s="22" t="str">
        <f t="shared" si="3"/>
        <v/>
      </c>
    </row>
    <row r="233" spans="1:1">
      <c r="A233" s="22" t="str">
        <f t="shared" si="3"/>
        <v/>
      </c>
    </row>
    <row r="234" spans="1:1">
      <c r="A234" s="22" t="str">
        <f t="shared" si="3"/>
        <v/>
      </c>
    </row>
    <row r="235" spans="1:1">
      <c r="A235" s="22" t="str">
        <f t="shared" si="3"/>
        <v/>
      </c>
    </row>
    <row r="236" spans="1:1">
      <c r="A236" s="22" t="str">
        <f t="shared" si="3"/>
        <v/>
      </c>
    </row>
    <row r="237" spans="1:1">
      <c r="A237" s="22" t="str">
        <f t="shared" si="3"/>
        <v/>
      </c>
    </row>
    <row r="238" spans="1:1">
      <c r="A238" s="22" t="str">
        <f t="shared" si="3"/>
        <v/>
      </c>
    </row>
    <row r="239" spans="1:1">
      <c r="A239" s="22" t="str">
        <f t="shared" si="3"/>
        <v/>
      </c>
    </row>
    <row r="240" spans="1:1">
      <c r="A240" s="22" t="str">
        <f t="shared" si="3"/>
        <v/>
      </c>
    </row>
    <row r="241" spans="1:1">
      <c r="A241" s="22" t="str">
        <f t="shared" si="3"/>
        <v/>
      </c>
    </row>
    <row r="242" spans="1:1">
      <c r="A242" s="22" t="str">
        <f t="shared" si="3"/>
        <v/>
      </c>
    </row>
    <row r="243" spans="1:1">
      <c r="A243" s="22" t="str">
        <f t="shared" si="3"/>
        <v/>
      </c>
    </row>
    <row r="244" spans="1:1">
      <c r="A244" s="22" t="str">
        <f t="shared" si="3"/>
        <v/>
      </c>
    </row>
    <row r="245" spans="1:1">
      <c r="A245" s="22" t="str">
        <f t="shared" si="3"/>
        <v/>
      </c>
    </row>
    <row r="246" spans="1:1">
      <c r="A246" s="22" t="str">
        <f t="shared" si="3"/>
        <v/>
      </c>
    </row>
    <row r="247" spans="1:1">
      <c r="A247" s="22" t="str">
        <f t="shared" si="3"/>
        <v/>
      </c>
    </row>
    <row r="248" spans="1:1">
      <c r="A248" s="22" t="str">
        <f t="shared" si="3"/>
        <v/>
      </c>
    </row>
    <row r="249" spans="1:1">
      <c r="A249" s="22" t="str">
        <f t="shared" si="3"/>
        <v/>
      </c>
    </row>
    <row r="250" spans="1:1">
      <c r="A250" s="22" t="str">
        <f t="shared" si="3"/>
        <v/>
      </c>
    </row>
    <row r="251" spans="1:1">
      <c r="A251" s="22" t="str">
        <f t="shared" si="3"/>
        <v/>
      </c>
    </row>
    <row r="252" spans="1:1">
      <c r="A252" s="22" t="str">
        <f t="shared" si="3"/>
        <v/>
      </c>
    </row>
    <row r="253" spans="1:1">
      <c r="A253" s="22" t="str">
        <f t="shared" si="3"/>
        <v/>
      </c>
    </row>
    <row r="254" spans="1:1">
      <c r="A254" s="22" t="str">
        <f t="shared" si="3"/>
        <v/>
      </c>
    </row>
    <row r="255" spans="1:1">
      <c r="A255" s="22" t="str">
        <f t="shared" si="3"/>
        <v/>
      </c>
    </row>
    <row r="256" spans="1:1">
      <c r="A256" s="22" t="str">
        <f t="shared" si="3"/>
        <v/>
      </c>
    </row>
    <row r="257" spans="1:1">
      <c r="A257" s="22" t="str">
        <f t="shared" si="3"/>
        <v/>
      </c>
    </row>
    <row r="258" spans="1:1">
      <c r="A258" s="22" t="str">
        <f t="shared" si="3"/>
        <v/>
      </c>
    </row>
    <row r="259" spans="1:1">
      <c r="A259" s="22" t="str">
        <f t="shared" si="3"/>
        <v/>
      </c>
    </row>
    <row r="260" spans="1:1">
      <c r="A260" s="22" t="str">
        <f t="shared" si="3"/>
        <v/>
      </c>
    </row>
    <row r="261" spans="1:1">
      <c r="A261" s="22" t="str">
        <f t="shared" si="3"/>
        <v/>
      </c>
    </row>
    <row r="262" spans="1:1">
      <c r="A262" s="22" t="str">
        <f t="shared" si="3"/>
        <v/>
      </c>
    </row>
    <row r="263" spans="1:1">
      <c r="A263" s="22" t="str">
        <f t="shared" si="3"/>
        <v/>
      </c>
    </row>
    <row r="264" spans="1:1">
      <c r="A264" s="22" t="str">
        <f t="shared" si="3"/>
        <v/>
      </c>
    </row>
    <row r="265" spans="1:1">
      <c r="A265" s="22" t="str">
        <f t="shared" si="3"/>
        <v/>
      </c>
    </row>
    <row r="266" spans="1:1">
      <c r="A266" s="22" t="str">
        <f t="shared" ref="A266:A329" si="4">IF(LEN(B266)&lt;&gt;0,ROW()-9,"")</f>
        <v/>
      </c>
    </row>
    <row r="267" spans="1:1">
      <c r="A267" s="22" t="str">
        <f t="shared" si="4"/>
        <v/>
      </c>
    </row>
    <row r="268" spans="1:1">
      <c r="A268" s="22" t="str">
        <f t="shared" si="4"/>
        <v/>
      </c>
    </row>
    <row r="269" spans="1:1">
      <c r="A269" s="22" t="str">
        <f t="shared" si="4"/>
        <v/>
      </c>
    </row>
    <row r="270" spans="1:1">
      <c r="A270" s="22" t="str">
        <f t="shared" si="4"/>
        <v/>
      </c>
    </row>
    <row r="271" spans="1:1">
      <c r="A271" s="22" t="str">
        <f t="shared" si="4"/>
        <v/>
      </c>
    </row>
    <row r="272" spans="1:1">
      <c r="A272" s="22" t="str">
        <f t="shared" si="4"/>
        <v/>
      </c>
    </row>
    <row r="273" spans="1:1">
      <c r="A273" s="22" t="str">
        <f t="shared" si="4"/>
        <v/>
      </c>
    </row>
    <row r="274" spans="1:1">
      <c r="A274" s="22" t="str">
        <f t="shared" si="4"/>
        <v/>
      </c>
    </row>
    <row r="275" spans="1:1">
      <c r="A275" s="22" t="str">
        <f t="shared" si="4"/>
        <v/>
      </c>
    </row>
    <row r="276" spans="1:1">
      <c r="A276" s="22" t="str">
        <f t="shared" si="4"/>
        <v/>
      </c>
    </row>
    <row r="277" spans="1:1">
      <c r="A277" s="22" t="str">
        <f t="shared" si="4"/>
        <v/>
      </c>
    </row>
    <row r="278" spans="1:1">
      <c r="A278" s="22" t="str">
        <f t="shared" si="4"/>
        <v/>
      </c>
    </row>
    <row r="279" spans="1:1">
      <c r="A279" s="22" t="str">
        <f t="shared" si="4"/>
        <v/>
      </c>
    </row>
    <row r="280" spans="1:1">
      <c r="A280" s="22" t="str">
        <f t="shared" si="4"/>
        <v/>
      </c>
    </row>
    <row r="281" spans="1:1">
      <c r="A281" s="22" t="str">
        <f t="shared" si="4"/>
        <v/>
      </c>
    </row>
    <row r="282" spans="1:1">
      <c r="A282" s="22" t="str">
        <f t="shared" si="4"/>
        <v/>
      </c>
    </row>
    <row r="283" spans="1:1">
      <c r="A283" s="22" t="str">
        <f t="shared" si="4"/>
        <v/>
      </c>
    </row>
    <row r="284" spans="1:1">
      <c r="A284" s="22" t="str">
        <f t="shared" si="4"/>
        <v/>
      </c>
    </row>
    <row r="285" spans="1:1">
      <c r="A285" s="22" t="str">
        <f t="shared" si="4"/>
        <v/>
      </c>
    </row>
    <row r="286" spans="1:1">
      <c r="A286" s="22" t="str">
        <f t="shared" si="4"/>
        <v/>
      </c>
    </row>
    <row r="287" spans="1:1">
      <c r="A287" s="22" t="str">
        <f t="shared" si="4"/>
        <v/>
      </c>
    </row>
    <row r="288" spans="1:1">
      <c r="A288" s="22" t="str">
        <f t="shared" si="4"/>
        <v/>
      </c>
    </row>
    <row r="289" spans="1:1">
      <c r="A289" s="22" t="str">
        <f t="shared" si="4"/>
        <v/>
      </c>
    </row>
    <row r="290" spans="1:1">
      <c r="A290" s="22" t="str">
        <f t="shared" si="4"/>
        <v/>
      </c>
    </row>
    <row r="291" spans="1:1">
      <c r="A291" s="22" t="str">
        <f t="shared" si="4"/>
        <v/>
      </c>
    </row>
    <row r="292" spans="1:1">
      <c r="A292" s="22" t="str">
        <f t="shared" si="4"/>
        <v/>
      </c>
    </row>
    <row r="293" spans="1:1">
      <c r="A293" s="22" t="str">
        <f t="shared" si="4"/>
        <v/>
      </c>
    </row>
    <row r="294" spans="1:1">
      <c r="A294" s="22" t="str">
        <f t="shared" si="4"/>
        <v/>
      </c>
    </row>
    <row r="295" spans="1:1">
      <c r="A295" s="22" t="str">
        <f t="shared" si="4"/>
        <v/>
      </c>
    </row>
    <row r="296" spans="1:1">
      <c r="A296" s="22" t="str">
        <f t="shared" si="4"/>
        <v/>
      </c>
    </row>
    <row r="297" spans="1:1">
      <c r="A297" s="22" t="str">
        <f t="shared" si="4"/>
        <v/>
      </c>
    </row>
    <row r="298" spans="1:1">
      <c r="A298" s="22" t="str">
        <f t="shared" si="4"/>
        <v/>
      </c>
    </row>
    <row r="299" spans="1:1">
      <c r="A299" s="22" t="str">
        <f t="shared" si="4"/>
        <v/>
      </c>
    </row>
    <row r="300" spans="1:1">
      <c r="A300" s="22" t="str">
        <f t="shared" si="4"/>
        <v/>
      </c>
    </row>
    <row r="301" spans="1:1">
      <c r="A301" s="22" t="str">
        <f t="shared" si="4"/>
        <v/>
      </c>
    </row>
    <row r="302" spans="1:1">
      <c r="A302" s="22" t="str">
        <f t="shared" si="4"/>
        <v/>
      </c>
    </row>
    <row r="303" spans="1:1">
      <c r="A303" s="22" t="str">
        <f t="shared" si="4"/>
        <v/>
      </c>
    </row>
    <row r="304" spans="1:1">
      <c r="A304" s="22" t="str">
        <f t="shared" si="4"/>
        <v/>
      </c>
    </row>
    <row r="305" spans="1:1">
      <c r="A305" s="22" t="str">
        <f t="shared" si="4"/>
        <v/>
      </c>
    </row>
    <row r="306" spans="1:1">
      <c r="A306" s="22" t="str">
        <f t="shared" si="4"/>
        <v/>
      </c>
    </row>
    <row r="307" spans="1:1">
      <c r="A307" s="22" t="str">
        <f t="shared" si="4"/>
        <v/>
      </c>
    </row>
    <row r="308" spans="1:1">
      <c r="A308" s="22" t="str">
        <f t="shared" si="4"/>
        <v/>
      </c>
    </row>
    <row r="309" spans="1:1">
      <c r="A309" s="22" t="str">
        <f t="shared" si="4"/>
        <v/>
      </c>
    </row>
    <row r="310" spans="1:1">
      <c r="A310" s="22" t="str">
        <f t="shared" si="4"/>
        <v/>
      </c>
    </row>
    <row r="311" spans="1:1">
      <c r="A311" s="22" t="str">
        <f t="shared" si="4"/>
        <v/>
      </c>
    </row>
    <row r="312" spans="1:1">
      <c r="A312" s="22" t="str">
        <f t="shared" si="4"/>
        <v/>
      </c>
    </row>
    <row r="313" spans="1:1">
      <c r="A313" s="22" t="str">
        <f t="shared" si="4"/>
        <v/>
      </c>
    </row>
    <row r="314" spans="1:1">
      <c r="A314" s="22" t="str">
        <f t="shared" si="4"/>
        <v/>
      </c>
    </row>
    <row r="315" spans="1:1">
      <c r="A315" s="22" t="str">
        <f t="shared" si="4"/>
        <v/>
      </c>
    </row>
    <row r="316" spans="1:1">
      <c r="A316" s="22" t="str">
        <f t="shared" si="4"/>
        <v/>
      </c>
    </row>
    <row r="317" spans="1:1">
      <c r="A317" s="22" t="str">
        <f t="shared" si="4"/>
        <v/>
      </c>
    </row>
    <row r="318" spans="1:1">
      <c r="A318" s="22" t="str">
        <f t="shared" si="4"/>
        <v/>
      </c>
    </row>
    <row r="319" spans="1:1">
      <c r="A319" s="22" t="str">
        <f t="shared" si="4"/>
        <v/>
      </c>
    </row>
    <row r="320" spans="1:1">
      <c r="A320" s="22" t="str">
        <f t="shared" si="4"/>
        <v/>
      </c>
    </row>
    <row r="321" spans="1:1">
      <c r="A321" s="22" t="str">
        <f t="shared" si="4"/>
        <v/>
      </c>
    </row>
    <row r="322" spans="1:1">
      <c r="A322" s="22" t="str">
        <f t="shared" si="4"/>
        <v/>
      </c>
    </row>
    <row r="323" spans="1:1">
      <c r="A323" s="22" t="str">
        <f t="shared" si="4"/>
        <v/>
      </c>
    </row>
    <row r="324" spans="1:1">
      <c r="A324" s="22" t="str">
        <f t="shared" si="4"/>
        <v/>
      </c>
    </row>
    <row r="325" spans="1:1">
      <c r="A325" s="22" t="str">
        <f t="shared" si="4"/>
        <v/>
      </c>
    </row>
    <row r="326" spans="1:1">
      <c r="A326" s="22" t="str">
        <f t="shared" si="4"/>
        <v/>
      </c>
    </row>
    <row r="327" spans="1:1">
      <c r="A327" s="22" t="str">
        <f t="shared" si="4"/>
        <v/>
      </c>
    </row>
    <row r="328" spans="1:1">
      <c r="A328" s="22" t="str">
        <f t="shared" si="4"/>
        <v/>
      </c>
    </row>
    <row r="329" spans="1:1">
      <c r="A329" s="22" t="str">
        <f t="shared" si="4"/>
        <v/>
      </c>
    </row>
    <row r="330" spans="1:1">
      <c r="A330" s="22" t="str">
        <f t="shared" ref="A330:A393" si="5">IF(LEN(B330)&lt;&gt;0,ROW()-9,"")</f>
        <v/>
      </c>
    </row>
    <row r="331" spans="1:1">
      <c r="A331" s="22" t="str">
        <f t="shared" si="5"/>
        <v/>
      </c>
    </row>
    <row r="332" spans="1:1">
      <c r="A332" s="22" t="str">
        <f t="shared" si="5"/>
        <v/>
      </c>
    </row>
    <row r="333" spans="1:1">
      <c r="A333" s="22" t="str">
        <f t="shared" si="5"/>
        <v/>
      </c>
    </row>
    <row r="334" spans="1:1">
      <c r="A334" s="22" t="str">
        <f t="shared" si="5"/>
        <v/>
      </c>
    </row>
    <row r="335" spans="1:1">
      <c r="A335" s="22" t="str">
        <f t="shared" si="5"/>
        <v/>
      </c>
    </row>
    <row r="336" spans="1:1">
      <c r="A336" s="22" t="str">
        <f t="shared" si="5"/>
        <v/>
      </c>
    </row>
    <row r="337" spans="1:1">
      <c r="A337" s="22" t="str">
        <f t="shared" si="5"/>
        <v/>
      </c>
    </row>
    <row r="338" spans="1:1">
      <c r="A338" s="22" t="str">
        <f t="shared" si="5"/>
        <v/>
      </c>
    </row>
    <row r="339" spans="1:1">
      <c r="A339" s="22" t="str">
        <f t="shared" si="5"/>
        <v/>
      </c>
    </row>
    <row r="340" spans="1:1">
      <c r="A340" s="22" t="str">
        <f t="shared" si="5"/>
        <v/>
      </c>
    </row>
    <row r="341" spans="1:1">
      <c r="A341" s="22" t="str">
        <f t="shared" si="5"/>
        <v/>
      </c>
    </row>
    <row r="342" spans="1:1">
      <c r="A342" s="22" t="str">
        <f t="shared" si="5"/>
        <v/>
      </c>
    </row>
    <row r="343" spans="1:1">
      <c r="A343" s="22" t="str">
        <f t="shared" si="5"/>
        <v/>
      </c>
    </row>
    <row r="344" spans="1:1">
      <c r="A344" s="22" t="str">
        <f t="shared" si="5"/>
        <v/>
      </c>
    </row>
    <row r="345" spans="1:1">
      <c r="A345" s="22" t="str">
        <f t="shared" si="5"/>
        <v/>
      </c>
    </row>
    <row r="346" spans="1:1">
      <c r="A346" s="22" t="str">
        <f t="shared" si="5"/>
        <v/>
      </c>
    </row>
    <row r="347" spans="1:1">
      <c r="A347" s="22" t="str">
        <f t="shared" si="5"/>
        <v/>
      </c>
    </row>
    <row r="348" spans="1:1">
      <c r="A348" s="22" t="str">
        <f t="shared" si="5"/>
        <v/>
      </c>
    </row>
    <row r="349" spans="1:1">
      <c r="A349" s="22" t="str">
        <f t="shared" si="5"/>
        <v/>
      </c>
    </row>
    <row r="350" spans="1:1">
      <c r="A350" s="22" t="str">
        <f t="shared" si="5"/>
        <v/>
      </c>
    </row>
    <row r="351" spans="1:1">
      <c r="A351" s="22" t="str">
        <f t="shared" si="5"/>
        <v/>
      </c>
    </row>
    <row r="352" spans="1:1">
      <c r="A352" s="22" t="str">
        <f t="shared" si="5"/>
        <v/>
      </c>
    </row>
    <row r="353" spans="1:1">
      <c r="A353" s="22" t="str">
        <f t="shared" si="5"/>
        <v/>
      </c>
    </row>
    <row r="354" spans="1:1">
      <c r="A354" s="22" t="str">
        <f t="shared" si="5"/>
        <v/>
      </c>
    </row>
    <row r="355" spans="1:1">
      <c r="A355" s="22" t="str">
        <f t="shared" si="5"/>
        <v/>
      </c>
    </row>
    <row r="356" spans="1:1">
      <c r="A356" s="22" t="str">
        <f t="shared" si="5"/>
        <v/>
      </c>
    </row>
    <row r="357" spans="1:1">
      <c r="A357" s="22" t="str">
        <f t="shared" si="5"/>
        <v/>
      </c>
    </row>
    <row r="358" spans="1:1">
      <c r="A358" s="22" t="str">
        <f t="shared" si="5"/>
        <v/>
      </c>
    </row>
    <row r="359" spans="1:1">
      <c r="A359" s="22" t="str">
        <f t="shared" si="5"/>
        <v/>
      </c>
    </row>
    <row r="360" spans="1:1">
      <c r="A360" s="22" t="str">
        <f t="shared" si="5"/>
        <v/>
      </c>
    </row>
    <row r="361" spans="1:1">
      <c r="A361" s="22" t="str">
        <f t="shared" si="5"/>
        <v/>
      </c>
    </row>
    <row r="362" spans="1:1">
      <c r="A362" s="22" t="str">
        <f t="shared" si="5"/>
        <v/>
      </c>
    </row>
    <row r="363" spans="1:1">
      <c r="A363" s="22" t="str">
        <f t="shared" si="5"/>
        <v/>
      </c>
    </row>
    <row r="364" spans="1:1">
      <c r="A364" s="22" t="str">
        <f t="shared" si="5"/>
        <v/>
      </c>
    </row>
    <row r="365" spans="1:1">
      <c r="A365" s="22" t="str">
        <f t="shared" si="5"/>
        <v/>
      </c>
    </row>
    <row r="366" spans="1:1">
      <c r="A366" s="22" t="str">
        <f t="shared" si="5"/>
        <v/>
      </c>
    </row>
    <row r="367" spans="1:1">
      <c r="A367" s="22" t="str">
        <f t="shared" si="5"/>
        <v/>
      </c>
    </row>
    <row r="368" spans="1:1">
      <c r="A368" s="22" t="str">
        <f t="shared" si="5"/>
        <v/>
      </c>
    </row>
    <row r="369" spans="1:1">
      <c r="A369" s="22" t="str">
        <f t="shared" si="5"/>
        <v/>
      </c>
    </row>
    <row r="370" spans="1:1">
      <c r="A370" s="22" t="str">
        <f t="shared" si="5"/>
        <v/>
      </c>
    </row>
    <row r="371" spans="1:1">
      <c r="A371" s="22" t="str">
        <f t="shared" si="5"/>
        <v/>
      </c>
    </row>
    <row r="372" spans="1:1">
      <c r="A372" s="22" t="str">
        <f t="shared" si="5"/>
        <v/>
      </c>
    </row>
    <row r="373" spans="1:1">
      <c r="A373" s="22" t="str">
        <f t="shared" si="5"/>
        <v/>
      </c>
    </row>
    <row r="374" spans="1:1">
      <c r="A374" s="22" t="str">
        <f t="shared" si="5"/>
        <v/>
      </c>
    </row>
    <row r="375" spans="1:1">
      <c r="A375" s="22" t="str">
        <f t="shared" si="5"/>
        <v/>
      </c>
    </row>
    <row r="376" spans="1:1">
      <c r="A376" s="22" t="str">
        <f t="shared" si="5"/>
        <v/>
      </c>
    </row>
    <row r="377" spans="1:1">
      <c r="A377" s="22" t="str">
        <f t="shared" si="5"/>
        <v/>
      </c>
    </row>
    <row r="378" spans="1:1">
      <c r="A378" s="22" t="str">
        <f t="shared" si="5"/>
        <v/>
      </c>
    </row>
    <row r="379" spans="1:1">
      <c r="A379" s="22" t="str">
        <f t="shared" si="5"/>
        <v/>
      </c>
    </row>
    <row r="380" spans="1:1">
      <c r="A380" s="22" t="str">
        <f t="shared" si="5"/>
        <v/>
      </c>
    </row>
    <row r="381" spans="1:1">
      <c r="A381" s="22" t="str">
        <f t="shared" si="5"/>
        <v/>
      </c>
    </row>
    <row r="382" spans="1:1">
      <c r="A382" s="22" t="str">
        <f t="shared" si="5"/>
        <v/>
      </c>
    </row>
    <row r="383" spans="1:1">
      <c r="A383" s="22" t="str">
        <f t="shared" si="5"/>
        <v/>
      </c>
    </row>
    <row r="384" spans="1:1">
      <c r="A384" s="22" t="str">
        <f t="shared" si="5"/>
        <v/>
      </c>
    </row>
    <row r="385" spans="1:1">
      <c r="A385" s="22" t="str">
        <f t="shared" si="5"/>
        <v/>
      </c>
    </row>
    <row r="386" spans="1:1">
      <c r="A386" s="22" t="str">
        <f t="shared" si="5"/>
        <v/>
      </c>
    </row>
    <row r="387" spans="1:1">
      <c r="A387" s="22" t="str">
        <f t="shared" si="5"/>
        <v/>
      </c>
    </row>
    <row r="388" spans="1:1">
      <c r="A388" s="22" t="str">
        <f t="shared" si="5"/>
        <v/>
      </c>
    </row>
    <row r="389" spans="1:1">
      <c r="A389" s="22" t="str">
        <f t="shared" si="5"/>
        <v/>
      </c>
    </row>
    <row r="390" spans="1:1">
      <c r="A390" s="22" t="str">
        <f t="shared" si="5"/>
        <v/>
      </c>
    </row>
    <row r="391" spans="1:1">
      <c r="A391" s="22" t="str">
        <f t="shared" si="5"/>
        <v/>
      </c>
    </row>
    <row r="392" spans="1:1">
      <c r="A392" s="22" t="str">
        <f t="shared" si="5"/>
        <v/>
      </c>
    </row>
    <row r="393" spans="1:1">
      <c r="A393" s="22" t="str">
        <f t="shared" si="5"/>
        <v/>
      </c>
    </row>
    <row r="394" spans="1:1">
      <c r="A394" s="22" t="str">
        <f t="shared" ref="A394:A457" si="6">IF(LEN(B394)&lt;&gt;0,ROW()-9,"")</f>
        <v/>
      </c>
    </row>
    <row r="395" spans="1:1">
      <c r="A395" s="22" t="str">
        <f t="shared" si="6"/>
        <v/>
      </c>
    </row>
    <row r="396" spans="1:1">
      <c r="A396" s="22" t="str">
        <f t="shared" si="6"/>
        <v/>
      </c>
    </row>
    <row r="397" spans="1:1">
      <c r="A397" s="22" t="str">
        <f t="shared" si="6"/>
        <v/>
      </c>
    </row>
    <row r="398" spans="1:1">
      <c r="A398" s="22" t="str">
        <f t="shared" si="6"/>
        <v/>
      </c>
    </row>
    <row r="399" spans="1:1">
      <c r="A399" s="22" t="str">
        <f t="shared" si="6"/>
        <v/>
      </c>
    </row>
    <row r="400" spans="1:1">
      <c r="A400" s="22" t="str">
        <f t="shared" si="6"/>
        <v/>
      </c>
    </row>
    <row r="401" spans="1:1">
      <c r="A401" s="22" t="str">
        <f t="shared" si="6"/>
        <v/>
      </c>
    </row>
    <row r="402" spans="1:1">
      <c r="A402" s="22" t="str">
        <f t="shared" si="6"/>
        <v/>
      </c>
    </row>
    <row r="403" spans="1:1">
      <c r="A403" s="22" t="str">
        <f t="shared" si="6"/>
        <v/>
      </c>
    </row>
    <row r="404" spans="1:1">
      <c r="A404" s="22" t="str">
        <f t="shared" si="6"/>
        <v/>
      </c>
    </row>
    <row r="405" spans="1:1">
      <c r="A405" s="22" t="str">
        <f t="shared" si="6"/>
        <v/>
      </c>
    </row>
    <row r="406" spans="1:1">
      <c r="A406" s="22" t="str">
        <f t="shared" si="6"/>
        <v/>
      </c>
    </row>
    <row r="407" spans="1:1">
      <c r="A407" s="22" t="str">
        <f t="shared" si="6"/>
        <v/>
      </c>
    </row>
    <row r="408" spans="1:1">
      <c r="A408" s="22" t="str">
        <f t="shared" si="6"/>
        <v/>
      </c>
    </row>
    <row r="409" spans="1:1">
      <c r="A409" s="22" t="str">
        <f t="shared" si="6"/>
        <v/>
      </c>
    </row>
    <row r="410" spans="1:1">
      <c r="A410" s="22" t="str">
        <f t="shared" si="6"/>
        <v/>
      </c>
    </row>
    <row r="411" spans="1:1">
      <c r="A411" s="22" t="str">
        <f t="shared" si="6"/>
        <v/>
      </c>
    </row>
    <row r="412" spans="1:1">
      <c r="A412" s="22" t="str">
        <f t="shared" si="6"/>
        <v/>
      </c>
    </row>
    <row r="413" spans="1:1">
      <c r="A413" s="22" t="str">
        <f t="shared" si="6"/>
        <v/>
      </c>
    </row>
    <row r="414" spans="1:1">
      <c r="A414" s="22" t="str">
        <f t="shared" si="6"/>
        <v/>
      </c>
    </row>
    <row r="415" spans="1:1">
      <c r="A415" s="22" t="str">
        <f t="shared" si="6"/>
        <v/>
      </c>
    </row>
    <row r="416" spans="1:1">
      <c r="A416" s="22" t="str">
        <f t="shared" si="6"/>
        <v/>
      </c>
    </row>
    <row r="417" spans="1:1">
      <c r="A417" s="22" t="str">
        <f t="shared" si="6"/>
        <v/>
      </c>
    </row>
    <row r="418" spans="1:1">
      <c r="A418" s="22" t="str">
        <f t="shared" si="6"/>
        <v/>
      </c>
    </row>
    <row r="419" spans="1:1">
      <c r="A419" s="22" t="str">
        <f t="shared" si="6"/>
        <v/>
      </c>
    </row>
    <row r="420" spans="1:1">
      <c r="A420" s="22" t="str">
        <f t="shared" si="6"/>
        <v/>
      </c>
    </row>
    <row r="421" spans="1:1">
      <c r="A421" s="22" t="str">
        <f t="shared" si="6"/>
        <v/>
      </c>
    </row>
    <row r="422" spans="1:1">
      <c r="A422" s="22" t="str">
        <f t="shared" si="6"/>
        <v/>
      </c>
    </row>
    <row r="423" spans="1:1">
      <c r="A423" s="22" t="str">
        <f t="shared" si="6"/>
        <v/>
      </c>
    </row>
    <row r="424" spans="1:1">
      <c r="A424" s="22" t="str">
        <f t="shared" si="6"/>
        <v/>
      </c>
    </row>
    <row r="425" spans="1:1">
      <c r="A425" s="22" t="str">
        <f t="shared" si="6"/>
        <v/>
      </c>
    </row>
    <row r="426" spans="1:1">
      <c r="A426" s="22" t="str">
        <f t="shared" si="6"/>
        <v/>
      </c>
    </row>
    <row r="427" spans="1:1">
      <c r="A427" s="22" t="str">
        <f t="shared" si="6"/>
        <v/>
      </c>
    </row>
    <row r="428" spans="1:1">
      <c r="A428" s="22" t="str">
        <f t="shared" si="6"/>
        <v/>
      </c>
    </row>
    <row r="429" spans="1:1">
      <c r="A429" s="22" t="str">
        <f t="shared" si="6"/>
        <v/>
      </c>
    </row>
    <row r="430" spans="1:1">
      <c r="A430" s="22" t="str">
        <f t="shared" si="6"/>
        <v/>
      </c>
    </row>
    <row r="431" spans="1:1">
      <c r="A431" s="22" t="str">
        <f t="shared" si="6"/>
        <v/>
      </c>
    </row>
    <row r="432" spans="1:1">
      <c r="A432" s="22" t="str">
        <f t="shared" si="6"/>
        <v/>
      </c>
    </row>
    <row r="433" spans="1:1">
      <c r="A433" s="22" t="str">
        <f t="shared" si="6"/>
        <v/>
      </c>
    </row>
    <row r="434" spans="1:1">
      <c r="A434" s="22" t="str">
        <f t="shared" si="6"/>
        <v/>
      </c>
    </row>
    <row r="435" spans="1:1">
      <c r="A435" s="22" t="str">
        <f t="shared" si="6"/>
        <v/>
      </c>
    </row>
    <row r="436" spans="1:1">
      <c r="A436" s="22" t="str">
        <f t="shared" si="6"/>
        <v/>
      </c>
    </row>
    <row r="437" spans="1:1">
      <c r="A437" s="22" t="str">
        <f t="shared" si="6"/>
        <v/>
      </c>
    </row>
    <row r="438" spans="1:1">
      <c r="A438" s="22" t="str">
        <f t="shared" si="6"/>
        <v/>
      </c>
    </row>
    <row r="439" spans="1:1">
      <c r="A439" s="22" t="str">
        <f t="shared" si="6"/>
        <v/>
      </c>
    </row>
    <row r="440" spans="1:1">
      <c r="A440" s="22" t="str">
        <f t="shared" si="6"/>
        <v/>
      </c>
    </row>
    <row r="441" spans="1:1">
      <c r="A441" s="22" t="str">
        <f t="shared" si="6"/>
        <v/>
      </c>
    </row>
    <row r="442" spans="1:1">
      <c r="A442" s="22" t="str">
        <f t="shared" si="6"/>
        <v/>
      </c>
    </row>
    <row r="443" spans="1:1">
      <c r="A443" s="22" t="str">
        <f t="shared" si="6"/>
        <v/>
      </c>
    </row>
    <row r="444" spans="1:1">
      <c r="A444" s="22" t="str">
        <f t="shared" si="6"/>
        <v/>
      </c>
    </row>
    <row r="445" spans="1:1">
      <c r="A445" s="22" t="str">
        <f t="shared" si="6"/>
        <v/>
      </c>
    </row>
    <row r="446" spans="1:1">
      <c r="A446" s="22" t="str">
        <f t="shared" si="6"/>
        <v/>
      </c>
    </row>
    <row r="447" spans="1:1">
      <c r="A447" s="22" t="str">
        <f t="shared" si="6"/>
        <v/>
      </c>
    </row>
    <row r="448" spans="1:1">
      <c r="A448" s="22" t="str">
        <f t="shared" si="6"/>
        <v/>
      </c>
    </row>
    <row r="449" spans="1:1">
      <c r="A449" s="22" t="str">
        <f t="shared" si="6"/>
        <v/>
      </c>
    </row>
    <row r="450" spans="1:1">
      <c r="A450" s="22" t="str">
        <f t="shared" si="6"/>
        <v/>
      </c>
    </row>
    <row r="451" spans="1:1">
      <c r="A451" s="22" t="str">
        <f t="shared" si="6"/>
        <v/>
      </c>
    </row>
    <row r="452" spans="1:1">
      <c r="A452" s="22" t="str">
        <f t="shared" si="6"/>
        <v/>
      </c>
    </row>
    <row r="453" spans="1:1">
      <c r="A453" s="22" t="str">
        <f t="shared" si="6"/>
        <v/>
      </c>
    </row>
    <row r="454" spans="1:1">
      <c r="A454" s="22" t="str">
        <f t="shared" si="6"/>
        <v/>
      </c>
    </row>
    <row r="455" spans="1:1">
      <c r="A455" s="22" t="str">
        <f t="shared" si="6"/>
        <v/>
      </c>
    </row>
    <row r="456" spans="1:1">
      <c r="A456" s="22" t="str">
        <f t="shared" si="6"/>
        <v/>
      </c>
    </row>
    <row r="457" spans="1:1">
      <c r="A457" s="22" t="str">
        <f t="shared" si="6"/>
        <v/>
      </c>
    </row>
    <row r="458" spans="1:1">
      <c r="A458" s="22" t="str">
        <f t="shared" ref="A458:A521" si="7">IF(LEN(B458)&lt;&gt;0,ROW()-9,"")</f>
        <v/>
      </c>
    </row>
    <row r="459" spans="1:1">
      <c r="A459" s="22" t="str">
        <f t="shared" si="7"/>
        <v/>
      </c>
    </row>
    <row r="460" spans="1:1">
      <c r="A460" s="22" t="str">
        <f t="shared" si="7"/>
        <v/>
      </c>
    </row>
    <row r="461" spans="1:1">
      <c r="A461" s="22" t="str">
        <f t="shared" si="7"/>
        <v/>
      </c>
    </row>
    <row r="462" spans="1:1">
      <c r="A462" s="22" t="str">
        <f t="shared" si="7"/>
        <v/>
      </c>
    </row>
    <row r="463" spans="1:1">
      <c r="A463" s="22" t="str">
        <f t="shared" si="7"/>
        <v/>
      </c>
    </row>
    <row r="464" spans="1:1">
      <c r="A464" s="22" t="str">
        <f t="shared" si="7"/>
        <v/>
      </c>
    </row>
    <row r="465" spans="1:1">
      <c r="A465" s="22" t="str">
        <f t="shared" si="7"/>
        <v/>
      </c>
    </row>
    <row r="466" spans="1:1">
      <c r="A466" s="22" t="str">
        <f t="shared" si="7"/>
        <v/>
      </c>
    </row>
    <row r="467" spans="1:1">
      <c r="A467" s="22" t="str">
        <f t="shared" si="7"/>
        <v/>
      </c>
    </row>
    <row r="468" spans="1:1">
      <c r="A468" s="22" t="str">
        <f t="shared" si="7"/>
        <v/>
      </c>
    </row>
    <row r="469" spans="1:1">
      <c r="A469" s="22" t="str">
        <f t="shared" si="7"/>
        <v/>
      </c>
    </row>
    <row r="470" spans="1:1">
      <c r="A470" s="22" t="str">
        <f t="shared" si="7"/>
        <v/>
      </c>
    </row>
    <row r="471" spans="1:1">
      <c r="A471" s="22" t="str">
        <f t="shared" si="7"/>
        <v/>
      </c>
    </row>
    <row r="472" spans="1:1">
      <c r="A472" s="22" t="str">
        <f t="shared" si="7"/>
        <v/>
      </c>
    </row>
    <row r="473" spans="1:1">
      <c r="A473" s="22" t="str">
        <f t="shared" si="7"/>
        <v/>
      </c>
    </row>
    <row r="474" spans="1:1">
      <c r="A474" s="22" t="str">
        <f t="shared" si="7"/>
        <v/>
      </c>
    </row>
    <row r="475" spans="1:1">
      <c r="A475" s="22" t="str">
        <f t="shared" si="7"/>
        <v/>
      </c>
    </row>
    <row r="476" spans="1:1">
      <c r="A476" s="22" t="str">
        <f t="shared" si="7"/>
        <v/>
      </c>
    </row>
    <row r="477" spans="1:1">
      <c r="A477" s="22" t="str">
        <f t="shared" si="7"/>
        <v/>
      </c>
    </row>
    <row r="478" spans="1:1">
      <c r="A478" s="22" t="str">
        <f t="shared" si="7"/>
        <v/>
      </c>
    </row>
    <row r="479" spans="1:1">
      <c r="A479" s="22" t="str">
        <f t="shared" si="7"/>
        <v/>
      </c>
    </row>
    <row r="480" spans="1:1">
      <c r="A480" s="22" t="str">
        <f t="shared" si="7"/>
        <v/>
      </c>
    </row>
    <row r="481" spans="1:1">
      <c r="A481" s="22" t="str">
        <f t="shared" si="7"/>
        <v/>
      </c>
    </row>
    <row r="482" spans="1:1">
      <c r="A482" s="22" t="str">
        <f t="shared" si="7"/>
        <v/>
      </c>
    </row>
    <row r="483" spans="1:1">
      <c r="A483" s="22" t="str">
        <f t="shared" si="7"/>
        <v/>
      </c>
    </row>
    <row r="484" spans="1:1">
      <c r="A484" s="22" t="str">
        <f t="shared" si="7"/>
        <v/>
      </c>
    </row>
    <row r="485" spans="1:1">
      <c r="A485" s="22" t="str">
        <f t="shared" si="7"/>
        <v/>
      </c>
    </row>
    <row r="486" spans="1:1">
      <c r="A486" s="22" t="str">
        <f t="shared" si="7"/>
        <v/>
      </c>
    </row>
    <row r="487" spans="1:1">
      <c r="A487" s="22" t="str">
        <f t="shared" si="7"/>
        <v/>
      </c>
    </row>
    <row r="488" spans="1:1">
      <c r="A488" s="22" t="str">
        <f t="shared" si="7"/>
        <v/>
      </c>
    </row>
    <row r="489" spans="1:1">
      <c r="A489" s="22" t="str">
        <f t="shared" si="7"/>
        <v/>
      </c>
    </row>
    <row r="490" spans="1:1">
      <c r="A490" s="22" t="str">
        <f t="shared" si="7"/>
        <v/>
      </c>
    </row>
    <row r="491" spans="1:1">
      <c r="A491" s="22" t="str">
        <f t="shared" si="7"/>
        <v/>
      </c>
    </row>
    <row r="492" spans="1:1">
      <c r="A492" s="22" t="str">
        <f t="shared" si="7"/>
        <v/>
      </c>
    </row>
    <row r="493" spans="1:1">
      <c r="A493" s="22" t="str">
        <f t="shared" si="7"/>
        <v/>
      </c>
    </row>
    <row r="494" spans="1:1">
      <c r="A494" s="22" t="str">
        <f t="shared" si="7"/>
        <v/>
      </c>
    </row>
    <row r="495" spans="1:1">
      <c r="A495" s="22" t="str">
        <f t="shared" si="7"/>
        <v/>
      </c>
    </row>
    <row r="496" spans="1:1">
      <c r="A496" s="22" t="str">
        <f t="shared" si="7"/>
        <v/>
      </c>
    </row>
    <row r="497" spans="1:1">
      <c r="A497" s="22" t="str">
        <f t="shared" si="7"/>
        <v/>
      </c>
    </row>
    <row r="498" spans="1:1">
      <c r="A498" s="22" t="str">
        <f t="shared" si="7"/>
        <v/>
      </c>
    </row>
    <row r="499" spans="1:1">
      <c r="A499" s="22" t="str">
        <f t="shared" si="7"/>
        <v/>
      </c>
    </row>
    <row r="500" spans="1:1">
      <c r="A500" s="22" t="str">
        <f t="shared" si="7"/>
        <v/>
      </c>
    </row>
    <row r="501" spans="1:1">
      <c r="A501" s="22" t="str">
        <f t="shared" si="7"/>
        <v/>
      </c>
    </row>
    <row r="502" spans="1:1">
      <c r="A502" s="22" t="str">
        <f t="shared" si="7"/>
        <v/>
      </c>
    </row>
    <row r="503" spans="1:1">
      <c r="A503" s="22" t="str">
        <f t="shared" si="7"/>
        <v/>
      </c>
    </row>
    <row r="504" spans="1:1">
      <c r="A504" s="22" t="str">
        <f t="shared" si="7"/>
        <v/>
      </c>
    </row>
    <row r="505" spans="1:1">
      <c r="A505" s="22" t="str">
        <f t="shared" si="7"/>
        <v/>
      </c>
    </row>
    <row r="506" spans="1:1">
      <c r="A506" s="22" t="str">
        <f t="shared" si="7"/>
        <v/>
      </c>
    </row>
    <row r="507" spans="1:1">
      <c r="A507" s="22" t="str">
        <f t="shared" si="7"/>
        <v/>
      </c>
    </row>
    <row r="508" spans="1:1">
      <c r="A508" s="22" t="str">
        <f t="shared" si="7"/>
        <v/>
      </c>
    </row>
    <row r="509" spans="1:1">
      <c r="A509" s="22" t="str">
        <f t="shared" si="7"/>
        <v/>
      </c>
    </row>
    <row r="510" spans="1:1">
      <c r="A510" s="22" t="str">
        <f t="shared" si="7"/>
        <v/>
      </c>
    </row>
    <row r="511" spans="1:1">
      <c r="A511" s="22" t="str">
        <f t="shared" si="7"/>
        <v/>
      </c>
    </row>
    <row r="512" spans="1:1">
      <c r="A512" s="22" t="str">
        <f t="shared" si="7"/>
        <v/>
      </c>
    </row>
    <row r="513" spans="1:1">
      <c r="A513" s="22" t="str">
        <f t="shared" si="7"/>
        <v/>
      </c>
    </row>
    <row r="514" spans="1:1">
      <c r="A514" s="22" t="str">
        <f t="shared" si="7"/>
        <v/>
      </c>
    </row>
    <row r="515" spans="1:1">
      <c r="A515" s="22" t="str">
        <f t="shared" si="7"/>
        <v/>
      </c>
    </row>
    <row r="516" spans="1:1">
      <c r="A516" s="22" t="str">
        <f t="shared" si="7"/>
        <v/>
      </c>
    </row>
    <row r="517" spans="1:1">
      <c r="A517" s="22" t="str">
        <f t="shared" si="7"/>
        <v/>
      </c>
    </row>
    <row r="518" spans="1:1">
      <c r="A518" s="22" t="str">
        <f t="shared" si="7"/>
        <v/>
      </c>
    </row>
    <row r="519" spans="1:1">
      <c r="A519" s="22" t="str">
        <f t="shared" si="7"/>
        <v/>
      </c>
    </row>
    <row r="520" spans="1:1">
      <c r="A520" s="22" t="str">
        <f t="shared" si="7"/>
        <v/>
      </c>
    </row>
    <row r="521" spans="1:1">
      <c r="A521" s="22" t="str">
        <f t="shared" si="7"/>
        <v/>
      </c>
    </row>
    <row r="522" spans="1:1">
      <c r="A522" s="22" t="str">
        <f t="shared" ref="A522:A585" si="8">IF(LEN(B522)&lt;&gt;0,ROW()-9,"")</f>
        <v/>
      </c>
    </row>
    <row r="523" spans="1:1">
      <c r="A523" s="22" t="str">
        <f t="shared" si="8"/>
        <v/>
      </c>
    </row>
    <row r="524" spans="1:1">
      <c r="A524" s="22" t="str">
        <f t="shared" si="8"/>
        <v/>
      </c>
    </row>
    <row r="525" spans="1:1">
      <c r="A525" s="22" t="str">
        <f t="shared" si="8"/>
        <v/>
      </c>
    </row>
    <row r="526" spans="1:1">
      <c r="A526" s="22" t="str">
        <f t="shared" si="8"/>
        <v/>
      </c>
    </row>
    <row r="527" spans="1:1">
      <c r="A527" s="22" t="str">
        <f t="shared" si="8"/>
        <v/>
      </c>
    </row>
    <row r="528" spans="1:1">
      <c r="A528" s="22" t="str">
        <f t="shared" si="8"/>
        <v/>
      </c>
    </row>
    <row r="529" spans="1:1">
      <c r="A529" s="22" t="str">
        <f t="shared" si="8"/>
        <v/>
      </c>
    </row>
    <row r="530" spans="1:1">
      <c r="A530" s="22" t="str">
        <f t="shared" si="8"/>
        <v/>
      </c>
    </row>
    <row r="531" spans="1:1">
      <c r="A531" s="22" t="str">
        <f t="shared" si="8"/>
        <v/>
      </c>
    </row>
    <row r="532" spans="1:1">
      <c r="A532" s="22" t="str">
        <f t="shared" si="8"/>
        <v/>
      </c>
    </row>
    <row r="533" spans="1:1">
      <c r="A533" s="22" t="str">
        <f t="shared" si="8"/>
        <v/>
      </c>
    </row>
    <row r="534" spans="1:1">
      <c r="A534" s="22" t="str">
        <f t="shared" si="8"/>
        <v/>
      </c>
    </row>
    <row r="535" spans="1:1">
      <c r="A535" s="22" t="str">
        <f t="shared" si="8"/>
        <v/>
      </c>
    </row>
    <row r="536" spans="1:1">
      <c r="A536" s="22" t="str">
        <f t="shared" si="8"/>
        <v/>
      </c>
    </row>
    <row r="537" spans="1:1">
      <c r="A537" s="22" t="str">
        <f t="shared" si="8"/>
        <v/>
      </c>
    </row>
    <row r="538" spans="1:1">
      <c r="A538" s="22" t="str">
        <f t="shared" si="8"/>
        <v/>
      </c>
    </row>
    <row r="539" spans="1:1">
      <c r="A539" s="22" t="str">
        <f t="shared" si="8"/>
        <v/>
      </c>
    </row>
    <row r="540" spans="1:1">
      <c r="A540" s="22" t="str">
        <f t="shared" si="8"/>
        <v/>
      </c>
    </row>
    <row r="541" spans="1:1">
      <c r="A541" s="22" t="str">
        <f t="shared" si="8"/>
        <v/>
      </c>
    </row>
    <row r="542" spans="1:1">
      <c r="A542" s="22" t="str">
        <f t="shared" si="8"/>
        <v/>
      </c>
    </row>
    <row r="543" spans="1:1">
      <c r="A543" s="22" t="str">
        <f t="shared" si="8"/>
        <v/>
      </c>
    </row>
    <row r="544" spans="1:1">
      <c r="A544" s="22" t="str">
        <f t="shared" si="8"/>
        <v/>
      </c>
    </row>
    <row r="545" spans="1:1">
      <c r="A545" s="22" t="str">
        <f t="shared" si="8"/>
        <v/>
      </c>
    </row>
    <row r="546" spans="1:1">
      <c r="A546" s="22" t="str">
        <f t="shared" si="8"/>
        <v/>
      </c>
    </row>
    <row r="547" spans="1:1">
      <c r="A547" s="22" t="str">
        <f t="shared" si="8"/>
        <v/>
      </c>
    </row>
    <row r="548" spans="1:1">
      <c r="A548" s="22" t="str">
        <f t="shared" si="8"/>
        <v/>
      </c>
    </row>
    <row r="549" spans="1:1">
      <c r="A549" s="22" t="str">
        <f t="shared" si="8"/>
        <v/>
      </c>
    </row>
    <row r="550" spans="1:1">
      <c r="A550" s="22" t="str">
        <f t="shared" si="8"/>
        <v/>
      </c>
    </row>
    <row r="551" spans="1:1">
      <c r="A551" s="22" t="str">
        <f t="shared" si="8"/>
        <v/>
      </c>
    </row>
    <row r="552" spans="1:1">
      <c r="A552" s="22" t="str">
        <f t="shared" si="8"/>
        <v/>
      </c>
    </row>
    <row r="553" spans="1:1">
      <c r="A553" s="22" t="str">
        <f t="shared" si="8"/>
        <v/>
      </c>
    </row>
    <row r="554" spans="1:1">
      <c r="A554" s="22" t="str">
        <f t="shared" si="8"/>
        <v/>
      </c>
    </row>
    <row r="555" spans="1:1">
      <c r="A555" s="22" t="str">
        <f t="shared" si="8"/>
        <v/>
      </c>
    </row>
    <row r="556" spans="1:1">
      <c r="A556" s="22" t="str">
        <f t="shared" si="8"/>
        <v/>
      </c>
    </row>
    <row r="557" spans="1:1">
      <c r="A557" s="22" t="str">
        <f t="shared" si="8"/>
        <v/>
      </c>
    </row>
    <row r="558" spans="1:1">
      <c r="A558" s="22" t="str">
        <f t="shared" si="8"/>
        <v/>
      </c>
    </row>
    <row r="559" spans="1:1">
      <c r="A559" s="22" t="str">
        <f t="shared" si="8"/>
        <v/>
      </c>
    </row>
    <row r="560" spans="1:1">
      <c r="A560" s="22" t="str">
        <f t="shared" si="8"/>
        <v/>
      </c>
    </row>
    <row r="561" spans="1:1">
      <c r="A561" s="22" t="str">
        <f t="shared" si="8"/>
        <v/>
      </c>
    </row>
    <row r="562" spans="1:1">
      <c r="A562" s="22" t="str">
        <f t="shared" si="8"/>
        <v/>
      </c>
    </row>
    <row r="563" spans="1:1">
      <c r="A563" s="22" t="str">
        <f t="shared" si="8"/>
        <v/>
      </c>
    </row>
    <row r="564" spans="1:1">
      <c r="A564" s="22" t="str">
        <f t="shared" si="8"/>
        <v/>
      </c>
    </row>
    <row r="565" spans="1:1">
      <c r="A565" s="22" t="str">
        <f t="shared" si="8"/>
        <v/>
      </c>
    </row>
    <row r="566" spans="1:1">
      <c r="A566" s="22" t="str">
        <f t="shared" si="8"/>
        <v/>
      </c>
    </row>
    <row r="567" spans="1:1">
      <c r="A567" s="22" t="str">
        <f t="shared" si="8"/>
        <v/>
      </c>
    </row>
    <row r="568" spans="1:1">
      <c r="A568" s="22" t="str">
        <f t="shared" si="8"/>
        <v/>
      </c>
    </row>
    <row r="569" spans="1:1">
      <c r="A569" s="22" t="str">
        <f t="shared" si="8"/>
        <v/>
      </c>
    </row>
    <row r="570" spans="1:1">
      <c r="A570" s="22" t="str">
        <f t="shared" si="8"/>
        <v/>
      </c>
    </row>
    <row r="571" spans="1:1">
      <c r="A571" s="22" t="str">
        <f t="shared" si="8"/>
        <v/>
      </c>
    </row>
    <row r="572" spans="1:1">
      <c r="A572" s="22" t="str">
        <f t="shared" si="8"/>
        <v/>
      </c>
    </row>
    <row r="573" spans="1:1">
      <c r="A573" s="22" t="str">
        <f t="shared" si="8"/>
        <v/>
      </c>
    </row>
    <row r="574" spans="1:1">
      <c r="A574" s="22" t="str">
        <f t="shared" si="8"/>
        <v/>
      </c>
    </row>
    <row r="575" spans="1:1">
      <c r="A575" s="22" t="str">
        <f t="shared" si="8"/>
        <v/>
      </c>
    </row>
    <row r="576" spans="1:1">
      <c r="A576" s="22" t="str">
        <f t="shared" si="8"/>
        <v/>
      </c>
    </row>
    <row r="577" spans="1:1">
      <c r="A577" s="22" t="str">
        <f t="shared" si="8"/>
        <v/>
      </c>
    </row>
    <row r="578" spans="1:1">
      <c r="A578" s="22" t="str">
        <f t="shared" si="8"/>
        <v/>
      </c>
    </row>
    <row r="579" spans="1:1">
      <c r="A579" s="22" t="str">
        <f t="shared" si="8"/>
        <v/>
      </c>
    </row>
    <row r="580" spans="1:1">
      <c r="A580" s="22" t="str">
        <f t="shared" si="8"/>
        <v/>
      </c>
    </row>
    <row r="581" spans="1:1">
      <c r="A581" s="22" t="str">
        <f t="shared" si="8"/>
        <v/>
      </c>
    </row>
    <row r="582" spans="1:1">
      <c r="A582" s="22" t="str">
        <f t="shared" si="8"/>
        <v/>
      </c>
    </row>
    <row r="583" spans="1:1">
      <c r="A583" s="22" t="str">
        <f t="shared" si="8"/>
        <v/>
      </c>
    </row>
    <row r="584" spans="1:1">
      <c r="A584" s="22" t="str">
        <f t="shared" si="8"/>
        <v/>
      </c>
    </row>
    <row r="585" spans="1:1">
      <c r="A585" s="22" t="str">
        <f t="shared" si="8"/>
        <v/>
      </c>
    </row>
    <row r="586" spans="1:1">
      <c r="A586" s="22" t="str">
        <f t="shared" ref="A586:A649" si="9">IF(LEN(B586)&lt;&gt;0,ROW()-9,"")</f>
        <v/>
      </c>
    </row>
    <row r="587" spans="1:1">
      <c r="A587" s="22" t="str">
        <f t="shared" si="9"/>
        <v/>
      </c>
    </row>
    <row r="588" spans="1:1">
      <c r="A588" s="22" t="str">
        <f t="shared" si="9"/>
        <v/>
      </c>
    </row>
    <row r="589" spans="1:1">
      <c r="A589" s="22" t="str">
        <f t="shared" si="9"/>
        <v/>
      </c>
    </row>
    <row r="590" spans="1:1">
      <c r="A590" s="22" t="str">
        <f t="shared" si="9"/>
        <v/>
      </c>
    </row>
    <row r="591" spans="1:1">
      <c r="A591" s="22" t="str">
        <f t="shared" si="9"/>
        <v/>
      </c>
    </row>
    <row r="592" spans="1:1">
      <c r="A592" s="22" t="str">
        <f t="shared" si="9"/>
        <v/>
      </c>
    </row>
    <row r="593" spans="1:1">
      <c r="A593" s="22" t="str">
        <f t="shared" si="9"/>
        <v/>
      </c>
    </row>
    <row r="594" spans="1:1">
      <c r="A594" s="22" t="str">
        <f t="shared" si="9"/>
        <v/>
      </c>
    </row>
    <row r="595" spans="1:1">
      <c r="A595" s="22" t="str">
        <f t="shared" si="9"/>
        <v/>
      </c>
    </row>
    <row r="596" spans="1:1">
      <c r="A596" s="22" t="str">
        <f t="shared" si="9"/>
        <v/>
      </c>
    </row>
    <row r="597" spans="1:1">
      <c r="A597" s="22" t="str">
        <f t="shared" si="9"/>
        <v/>
      </c>
    </row>
    <row r="598" spans="1:1">
      <c r="A598" s="22" t="str">
        <f t="shared" si="9"/>
        <v/>
      </c>
    </row>
    <row r="599" spans="1:1">
      <c r="A599" s="22" t="str">
        <f t="shared" si="9"/>
        <v/>
      </c>
    </row>
    <row r="600" spans="1:1">
      <c r="A600" s="22" t="str">
        <f t="shared" si="9"/>
        <v/>
      </c>
    </row>
    <row r="601" spans="1:1">
      <c r="A601" s="22" t="str">
        <f t="shared" si="9"/>
        <v/>
      </c>
    </row>
    <row r="602" spans="1:1">
      <c r="A602" s="22" t="str">
        <f t="shared" si="9"/>
        <v/>
      </c>
    </row>
    <row r="603" spans="1:1">
      <c r="A603" s="22" t="str">
        <f t="shared" si="9"/>
        <v/>
      </c>
    </row>
    <row r="604" spans="1:1">
      <c r="A604" s="22" t="str">
        <f t="shared" si="9"/>
        <v/>
      </c>
    </row>
    <row r="605" spans="1:1">
      <c r="A605" s="22" t="str">
        <f t="shared" si="9"/>
        <v/>
      </c>
    </row>
    <row r="606" spans="1:1">
      <c r="A606" s="22" t="str">
        <f t="shared" si="9"/>
        <v/>
      </c>
    </row>
    <row r="607" spans="1:1">
      <c r="A607" s="22" t="str">
        <f t="shared" si="9"/>
        <v/>
      </c>
    </row>
    <row r="608" spans="1:1">
      <c r="A608" s="22" t="str">
        <f t="shared" si="9"/>
        <v/>
      </c>
    </row>
    <row r="609" spans="1:1">
      <c r="A609" s="22" t="str">
        <f t="shared" si="9"/>
        <v/>
      </c>
    </row>
    <row r="610" spans="1:1">
      <c r="A610" s="22" t="str">
        <f t="shared" si="9"/>
        <v/>
      </c>
    </row>
    <row r="611" spans="1:1">
      <c r="A611" s="22" t="str">
        <f t="shared" si="9"/>
        <v/>
      </c>
    </row>
    <row r="612" spans="1:1">
      <c r="A612" s="22" t="str">
        <f t="shared" si="9"/>
        <v/>
      </c>
    </row>
    <row r="613" spans="1:1">
      <c r="A613" s="22" t="str">
        <f t="shared" si="9"/>
        <v/>
      </c>
    </row>
    <row r="614" spans="1:1">
      <c r="A614" s="22" t="str">
        <f t="shared" si="9"/>
        <v/>
      </c>
    </row>
    <row r="615" spans="1:1">
      <c r="A615" s="22" t="str">
        <f t="shared" si="9"/>
        <v/>
      </c>
    </row>
    <row r="616" spans="1:1">
      <c r="A616" s="22" t="str">
        <f t="shared" si="9"/>
        <v/>
      </c>
    </row>
    <row r="617" spans="1:1">
      <c r="A617" s="22" t="str">
        <f t="shared" si="9"/>
        <v/>
      </c>
    </row>
    <row r="618" spans="1:1">
      <c r="A618" s="22" t="str">
        <f t="shared" si="9"/>
        <v/>
      </c>
    </row>
    <row r="619" spans="1:1">
      <c r="A619" s="22" t="str">
        <f t="shared" si="9"/>
        <v/>
      </c>
    </row>
    <row r="620" spans="1:1">
      <c r="A620" s="22" t="str">
        <f t="shared" si="9"/>
        <v/>
      </c>
    </row>
    <row r="621" spans="1:1">
      <c r="A621" s="22" t="str">
        <f t="shared" si="9"/>
        <v/>
      </c>
    </row>
    <row r="622" spans="1:1">
      <c r="A622" s="22" t="str">
        <f t="shared" si="9"/>
        <v/>
      </c>
    </row>
    <row r="623" spans="1:1">
      <c r="A623" s="22" t="str">
        <f t="shared" si="9"/>
        <v/>
      </c>
    </row>
    <row r="624" spans="1:1">
      <c r="A624" s="22" t="str">
        <f t="shared" si="9"/>
        <v/>
      </c>
    </row>
    <row r="625" spans="1:1">
      <c r="A625" s="22" t="str">
        <f t="shared" si="9"/>
        <v/>
      </c>
    </row>
    <row r="626" spans="1:1">
      <c r="A626" s="22" t="str">
        <f t="shared" si="9"/>
        <v/>
      </c>
    </row>
    <row r="627" spans="1:1">
      <c r="A627" s="22" t="str">
        <f t="shared" si="9"/>
        <v/>
      </c>
    </row>
    <row r="628" spans="1:1">
      <c r="A628" s="22" t="str">
        <f t="shared" si="9"/>
        <v/>
      </c>
    </row>
    <row r="629" spans="1:1">
      <c r="A629" s="22" t="str">
        <f t="shared" si="9"/>
        <v/>
      </c>
    </row>
    <row r="630" spans="1:1">
      <c r="A630" s="22" t="str">
        <f t="shared" si="9"/>
        <v/>
      </c>
    </row>
    <row r="631" spans="1:1">
      <c r="A631" s="22" t="str">
        <f t="shared" si="9"/>
        <v/>
      </c>
    </row>
    <row r="632" spans="1:1">
      <c r="A632" s="22" t="str">
        <f t="shared" si="9"/>
        <v/>
      </c>
    </row>
    <row r="633" spans="1:1">
      <c r="A633" s="22" t="str">
        <f t="shared" si="9"/>
        <v/>
      </c>
    </row>
    <row r="634" spans="1:1">
      <c r="A634" s="22" t="str">
        <f t="shared" si="9"/>
        <v/>
      </c>
    </row>
    <row r="635" spans="1:1">
      <c r="A635" s="22" t="str">
        <f t="shared" si="9"/>
        <v/>
      </c>
    </row>
    <row r="636" spans="1:1">
      <c r="A636" s="22" t="str">
        <f t="shared" si="9"/>
        <v/>
      </c>
    </row>
    <row r="637" spans="1:1">
      <c r="A637" s="22" t="str">
        <f t="shared" si="9"/>
        <v/>
      </c>
    </row>
    <row r="638" spans="1:1">
      <c r="A638" s="22" t="str">
        <f t="shared" si="9"/>
        <v/>
      </c>
    </row>
    <row r="639" spans="1:1">
      <c r="A639" s="22" t="str">
        <f t="shared" si="9"/>
        <v/>
      </c>
    </row>
    <row r="640" spans="1:1">
      <c r="A640" s="22" t="str">
        <f t="shared" si="9"/>
        <v/>
      </c>
    </row>
    <row r="641" spans="1:1">
      <c r="A641" s="22" t="str">
        <f t="shared" si="9"/>
        <v/>
      </c>
    </row>
    <row r="642" spans="1:1">
      <c r="A642" s="22" t="str">
        <f t="shared" si="9"/>
        <v/>
      </c>
    </row>
    <row r="643" spans="1:1">
      <c r="A643" s="22" t="str">
        <f t="shared" si="9"/>
        <v/>
      </c>
    </row>
    <row r="644" spans="1:1">
      <c r="A644" s="22" t="str">
        <f t="shared" si="9"/>
        <v/>
      </c>
    </row>
    <row r="645" spans="1:1">
      <c r="A645" s="22" t="str">
        <f t="shared" si="9"/>
        <v/>
      </c>
    </row>
    <row r="646" spans="1:1">
      <c r="A646" s="22" t="str">
        <f t="shared" si="9"/>
        <v/>
      </c>
    </row>
    <row r="647" spans="1:1">
      <c r="A647" s="22" t="str">
        <f t="shared" si="9"/>
        <v/>
      </c>
    </row>
    <row r="648" spans="1:1">
      <c r="A648" s="22" t="str">
        <f t="shared" si="9"/>
        <v/>
      </c>
    </row>
    <row r="649" spans="1:1">
      <c r="A649" s="22" t="str">
        <f t="shared" si="9"/>
        <v/>
      </c>
    </row>
    <row r="650" spans="1:1">
      <c r="A650" s="22" t="str">
        <f t="shared" ref="A650:A713" si="10">IF(LEN(B650)&lt;&gt;0,ROW()-9,"")</f>
        <v/>
      </c>
    </row>
    <row r="651" spans="1:1">
      <c r="A651" s="22" t="str">
        <f t="shared" si="10"/>
        <v/>
      </c>
    </row>
    <row r="652" spans="1:1">
      <c r="A652" s="22" t="str">
        <f t="shared" si="10"/>
        <v/>
      </c>
    </row>
    <row r="653" spans="1:1">
      <c r="A653" s="22" t="str">
        <f t="shared" si="10"/>
        <v/>
      </c>
    </row>
    <row r="654" spans="1:1">
      <c r="A654" s="22" t="str">
        <f t="shared" si="10"/>
        <v/>
      </c>
    </row>
    <row r="655" spans="1:1">
      <c r="A655" s="22" t="str">
        <f t="shared" si="10"/>
        <v/>
      </c>
    </row>
    <row r="656" spans="1:1">
      <c r="A656" s="22" t="str">
        <f t="shared" si="10"/>
        <v/>
      </c>
    </row>
    <row r="657" spans="1:1">
      <c r="A657" s="22" t="str">
        <f t="shared" si="10"/>
        <v/>
      </c>
    </row>
    <row r="658" spans="1:1">
      <c r="A658" s="22" t="str">
        <f t="shared" si="10"/>
        <v/>
      </c>
    </row>
    <row r="659" spans="1:1">
      <c r="A659" s="22" t="str">
        <f t="shared" si="10"/>
        <v/>
      </c>
    </row>
    <row r="660" spans="1:1">
      <c r="A660" s="22" t="str">
        <f t="shared" si="10"/>
        <v/>
      </c>
    </row>
    <row r="661" spans="1:1">
      <c r="A661" s="22" t="str">
        <f t="shared" si="10"/>
        <v/>
      </c>
    </row>
    <row r="662" spans="1:1">
      <c r="A662" s="22" t="str">
        <f t="shared" si="10"/>
        <v/>
      </c>
    </row>
    <row r="663" spans="1:1">
      <c r="A663" s="22" t="str">
        <f t="shared" si="10"/>
        <v/>
      </c>
    </row>
    <row r="664" spans="1:1">
      <c r="A664" s="22" t="str">
        <f t="shared" si="10"/>
        <v/>
      </c>
    </row>
    <row r="665" spans="1:1">
      <c r="A665" s="22" t="str">
        <f t="shared" si="10"/>
        <v/>
      </c>
    </row>
    <row r="666" spans="1:1">
      <c r="A666" s="22" t="str">
        <f t="shared" si="10"/>
        <v/>
      </c>
    </row>
    <row r="667" spans="1:1">
      <c r="A667" s="22" t="str">
        <f t="shared" si="10"/>
        <v/>
      </c>
    </row>
    <row r="668" spans="1:1">
      <c r="A668" s="22" t="str">
        <f t="shared" si="10"/>
        <v/>
      </c>
    </row>
    <row r="669" spans="1:1">
      <c r="A669" s="22" t="str">
        <f t="shared" si="10"/>
        <v/>
      </c>
    </row>
    <row r="670" spans="1:1">
      <c r="A670" s="22" t="str">
        <f t="shared" si="10"/>
        <v/>
      </c>
    </row>
    <row r="671" spans="1:1">
      <c r="A671" s="22" t="str">
        <f t="shared" si="10"/>
        <v/>
      </c>
    </row>
    <row r="672" spans="1:1">
      <c r="A672" s="22" t="str">
        <f t="shared" si="10"/>
        <v/>
      </c>
    </row>
    <row r="673" spans="1:1">
      <c r="A673" s="22" t="str">
        <f t="shared" si="10"/>
        <v/>
      </c>
    </row>
    <row r="674" spans="1:1">
      <c r="A674" s="22" t="str">
        <f t="shared" si="10"/>
        <v/>
      </c>
    </row>
    <row r="675" spans="1:1">
      <c r="A675" s="22" t="str">
        <f t="shared" si="10"/>
        <v/>
      </c>
    </row>
    <row r="676" spans="1:1">
      <c r="A676" s="22" t="str">
        <f t="shared" si="10"/>
        <v/>
      </c>
    </row>
    <row r="677" spans="1:1">
      <c r="A677" s="22" t="str">
        <f t="shared" si="10"/>
        <v/>
      </c>
    </row>
    <row r="678" spans="1:1">
      <c r="A678" s="22" t="str">
        <f t="shared" si="10"/>
        <v/>
      </c>
    </row>
    <row r="679" spans="1:1">
      <c r="A679" s="22" t="str">
        <f t="shared" si="10"/>
        <v/>
      </c>
    </row>
    <row r="680" spans="1:1">
      <c r="A680" s="22" t="str">
        <f t="shared" si="10"/>
        <v/>
      </c>
    </row>
    <row r="681" spans="1:1">
      <c r="A681" s="22" t="str">
        <f t="shared" si="10"/>
        <v/>
      </c>
    </row>
    <row r="682" spans="1:1">
      <c r="A682" s="22" t="str">
        <f t="shared" si="10"/>
        <v/>
      </c>
    </row>
    <row r="683" spans="1:1">
      <c r="A683" s="22" t="str">
        <f t="shared" si="10"/>
        <v/>
      </c>
    </row>
    <row r="684" spans="1:1">
      <c r="A684" s="22" t="str">
        <f t="shared" si="10"/>
        <v/>
      </c>
    </row>
    <row r="685" spans="1:1">
      <c r="A685" s="22" t="str">
        <f t="shared" si="10"/>
        <v/>
      </c>
    </row>
    <row r="686" spans="1:1">
      <c r="A686" s="22" t="str">
        <f t="shared" si="10"/>
        <v/>
      </c>
    </row>
    <row r="687" spans="1:1">
      <c r="A687" s="22" t="str">
        <f t="shared" si="10"/>
        <v/>
      </c>
    </row>
    <row r="688" spans="1:1">
      <c r="A688" s="22" t="str">
        <f t="shared" si="10"/>
        <v/>
      </c>
    </row>
    <row r="689" spans="1:1">
      <c r="A689" s="22" t="str">
        <f t="shared" si="10"/>
        <v/>
      </c>
    </row>
    <row r="690" spans="1:1">
      <c r="A690" s="22" t="str">
        <f t="shared" si="10"/>
        <v/>
      </c>
    </row>
    <row r="691" spans="1:1">
      <c r="A691" s="22" t="str">
        <f t="shared" si="10"/>
        <v/>
      </c>
    </row>
    <row r="692" spans="1:1">
      <c r="A692" s="22" t="str">
        <f t="shared" si="10"/>
        <v/>
      </c>
    </row>
    <row r="693" spans="1:1">
      <c r="A693" s="22" t="str">
        <f t="shared" si="10"/>
        <v/>
      </c>
    </row>
    <row r="694" spans="1:1">
      <c r="A694" s="22" t="str">
        <f t="shared" si="10"/>
        <v/>
      </c>
    </row>
    <row r="695" spans="1:1">
      <c r="A695" s="22" t="str">
        <f t="shared" si="10"/>
        <v/>
      </c>
    </row>
    <row r="696" spans="1:1">
      <c r="A696" s="22" t="str">
        <f t="shared" si="10"/>
        <v/>
      </c>
    </row>
    <row r="697" spans="1:1">
      <c r="A697" s="22" t="str">
        <f t="shared" si="10"/>
        <v/>
      </c>
    </row>
    <row r="698" spans="1:1">
      <c r="A698" s="22" t="str">
        <f t="shared" si="10"/>
        <v/>
      </c>
    </row>
    <row r="699" spans="1:1">
      <c r="A699" s="22" t="str">
        <f t="shared" si="10"/>
        <v/>
      </c>
    </row>
    <row r="700" spans="1:1">
      <c r="A700" s="22" t="str">
        <f t="shared" si="10"/>
        <v/>
      </c>
    </row>
    <row r="701" spans="1:1">
      <c r="A701" s="22" t="str">
        <f t="shared" si="10"/>
        <v/>
      </c>
    </row>
    <row r="702" spans="1:1">
      <c r="A702" s="22" t="str">
        <f t="shared" si="10"/>
        <v/>
      </c>
    </row>
    <row r="703" spans="1:1">
      <c r="A703" s="22" t="str">
        <f t="shared" si="10"/>
        <v/>
      </c>
    </row>
    <row r="704" spans="1:1">
      <c r="A704" s="22" t="str">
        <f t="shared" si="10"/>
        <v/>
      </c>
    </row>
    <row r="705" spans="1:1">
      <c r="A705" s="22" t="str">
        <f t="shared" si="10"/>
        <v/>
      </c>
    </row>
    <row r="706" spans="1:1">
      <c r="A706" s="22" t="str">
        <f t="shared" si="10"/>
        <v/>
      </c>
    </row>
    <row r="707" spans="1:1">
      <c r="A707" s="22" t="str">
        <f t="shared" si="10"/>
        <v/>
      </c>
    </row>
    <row r="708" spans="1:1">
      <c r="A708" s="22" t="str">
        <f t="shared" si="10"/>
        <v/>
      </c>
    </row>
    <row r="709" spans="1:1">
      <c r="A709" s="22" t="str">
        <f t="shared" si="10"/>
        <v/>
      </c>
    </row>
    <row r="710" spans="1:1">
      <c r="A710" s="22" t="str">
        <f t="shared" si="10"/>
        <v/>
      </c>
    </row>
    <row r="711" spans="1:1">
      <c r="A711" s="22" t="str">
        <f t="shared" si="10"/>
        <v/>
      </c>
    </row>
    <row r="712" spans="1:1">
      <c r="A712" s="22" t="str">
        <f t="shared" si="10"/>
        <v/>
      </c>
    </row>
    <row r="713" spans="1:1">
      <c r="A713" s="22" t="str">
        <f t="shared" si="10"/>
        <v/>
      </c>
    </row>
    <row r="714" spans="1:1">
      <c r="A714" s="22" t="str">
        <f t="shared" ref="A714:A777" si="11">IF(LEN(B714)&lt;&gt;0,ROW()-9,"")</f>
        <v/>
      </c>
    </row>
    <row r="715" spans="1:1">
      <c r="A715" s="22" t="str">
        <f t="shared" si="11"/>
        <v/>
      </c>
    </row>
    <row r="716" spans="1:1">
      <c r="A716" s="22" t="str">
        <f t="shared" si="11"/>
        <v/>
      </c>
    </row>
    <row r="717" spans="1:1">
      <c r="A717" s="22" t="str">
        <f t="shared" si="11"/>
        <v/>
      </c>
    </row>
    <row r="718" spans="1:1">
      <c r="A718" s="22" t="str">
        <f t="shared" si="11"/>
        <v/>
      </c>
    </row>
    <row r="719" spans="1:1">
      <c r="A719" s="22" t="str">
        <f t="shared" si="11"/>
        <v/>
      </c>
    </row>
    <row r="720" spans="1:1">
      <c r="A720" s="22" t="str">
        <f t="shared" si="11"/>
        <v/>
      </c>
    </row>
    <row r="721" spans="1:1">
      <c r="A721" s="22" t="str">
        <f t="shared" si="11"/>
        <v/>
      </c>
    </row>
    <row r="722" spans="1:1">
      <c r="A722" s="22" t="str">
        <f t="shared" si="11"/>
        <v/>
      </c>
    </row>
    <row r="723" spans="1:1">
      <c r="A723" s="22" t="str">
        <f t="shared" si="11"/>
        <v/>
      </c>
    </row>
    <row r="724" spans="1:1">
      <c r="A724" s="22" t="str">
        <f t="shared" si="11"/>
        <v/>
      </c>
    </row>
    <row r="725" spans="1:1">
      <c r="A725" s="22" t="str">
        <f t="shared" si="11"/>
        <v/>
      </c>
    </row>
    <row r="726" spans="1:1">
      <c r="A726" s="22" t="str">
        <f t="shared" si="11"/>
        <v/>
      </c>
    </row>
    <row r="727" spans="1:1">
      <c r="A727" s="22" t="str">
        <f t="shared" si="11"/>
        <v/>
      </c>
    </row>
    <row r="728" spans="1:1">
      <c r="A728" s="22" t="str">
        <f t="shared" si="11"/>
        <v/>
      </c>
    </row>
    <row r="729" spans="1:1">
      <c r="A729" s="22" t="str">
        <f t="shared" si="11"/>
        <v/>
      </c>
    </row>
    <row r="730" spans="1:1">
      <c r="A730" s="22" t="str">
        <f t="shared" si="11"/>
        <v/>
      </c>
    </row>
    <row r="731" spans="1:1">
      <c r="A731" s="22" t="str">
        <f t="shared" si="11"/>
        <v/>
      </c>
    </row>
    <row r="732" spans="1:1">
      <c r="A732" s="22" t="str">
        <f t="shared" si="11"/>
        <v/>
      </c>
    </row>
    <row r="733" spans="1:1">
      <c r="A733" s="22" t="str">
        <f t="shared" si="11"/>
        <v/>
      </c>
    </row>
    <row r="734" spans="1:1">
      <c r="A734" s="22" t="str">
        <f t="shared" si="11"/>
        <v/>
      </c>
    </row>
    <row r="735" spans="1:1">
      <c r="A735" s="22" t="str">
        <f t="shared" si="11"/>
        <v/>
      </c>
    </row>
    <row r="736" spans="1:1">
      <c r="A736" s="22" t="str">
        <f t="shared" si="11"/>
        <v/>
      </c>
    </row>
    <row r="737" spans="1:1">
      <c r="A737" s="22" t="str">
        <f t="shared" si="11"/>
        <v/>
      </c>
    </row>
    <row r="738" spans="1:1">
      <c r="A738" s="22" t="str">
        <f t="shared" si="11"/>
        <v/>
      </c>
    </row>
    <row r="739" spans="1:1">
      <c r="A739" s="22" t="str">
        <f t="shared" si="11"/>
        <v/>
      </c>
    </row>
    <row r="740" spans="1:1">
      <c r="A740" s="22" t="str">
        <f t="shared" si="11"/>
        <v/>
      </c>
    </row>
    <row r="741" spans="1:1">
      <c r="A741" s="22" t="str">
        <f t="shared" si="11"/>
        <v/>
      </c>
    </row>
    <row r="742" spans="1:1">
      <c r="A742" s="22" t="str">
        <f t="shared" si="11"/>
        <v/>
      </c>
    </row>
    <row r="743" spans="1:1">
      <c r="A743" s="22" t="str">
        <f t="shared" si="11"/>
        <v/>
      </c>
    </row>
    <row r="744" spans="1:1">
      <c r="A744" s="22" t="str">
        <f t="shared" si="11"/>
        <v/>
      </c>
    </row>
    <row r="745" spans="1:1">
      <c r="A745" s="22" t="str">
        <f t="shared" si="11"/>
        <v/>
      </c>
    </row>
    <row r="746" spans="1:1">
      <c r="A746" s="22" t="str">
        <f t="shared" si="11"/>
        <v/>
      </c>
    </row>
    <row r="747" spans="1:1">
      <c r="A747" s="22" t="str">
        <f t="shared" si="11"/>
        <v/>
      </c>
    </row>
    <row r="748" spans="1:1">
      <c r="A748" s="22" t="str">
        <f t="shared" si="11"/>
        <v/>
      </c>
    </row>
    <row r="749" spans="1:1">
      <c r="A749" s="22" t="str">
        <f t="shared" si="11"/>
        <v/>
      </c>
    </row>
    <row r="750" spans="1:1">
      <c r="A750" s="22" t="str">
        <f t="shared" si="11"/>
        <v/>
      </c>
    </row>
    <row r="751" spans="1:1">
      <c r="A751" s="22" t="str">
        <f t="shared" si="11"/>
        <v/>
      </c>
    </row>
    <row r="752" spans="1:1">
      <c r="A752" s="22" t="str">
        <f t="shared" si="11"/>
        <v/>
      </c>
    </row>
    <row r="753" spans="1:1">
      <c r="A753" s="22" t="str">
        <f t="shared" si="11"/>
        <v/>
      </c>
    </row>
    <row r="754" spans="1:1">
      <c r="A754" s="22" t="str">
        <f t="shared" si="11"/>
        <v/>
      </c>
    </row>
    <row r="755" spans="1:1">
      <c r="A755" s="22" t="str">
        <f t="shared" si="11"/>
        <v/>
      </c>
    </row>
    <row r="756" spans="1:1">
      <c r="A756" s="22" t="str">
        <f t="shared" si="11"/>
        <v/>
      </c>
    </row>
    <row r="757" spans="1:1">
      <c r="A757" s="22" t="str">
        <f t="shared" si="11"/>
        <v/>
      </c>
    </row>
    <row r="758" spans="1:1">
      <c r="A758" s="22" t="str">
        <f t="shared" si="11"/>
        <v/>
      </c>
    </row>
    <row r="759" spans="1:1">
      <c r="A759" s="22" t="str">
        <f t="shared" si="11"/>
        <v/>
      </c>
    </row>
    <row r="760" spans="1:1">
      <c r="A760" s="22" t="str">
        <f t="shared" si="11"/>
        <v/>
      </c>
    </row>
    <row r="761" spans="1:1">
      <c r="A761" s="22" t="str">
        <f t="shared" si="11"/>
        <v/>
      </c>
    </row>
    <row r="762" spans="1:1">
      <c r="A762" s="22" t="str">
        <f t="shared" si="11"/>
        <v/>
      </c>
    </row>
    <row r="763" spans="1:1">
      <c r="A763" s="22" t="str">
        <f t="shared" si="11"/>
        <v/>
      </c>
    </row>
    <row r="764" spans="1:1">
      <c r="A764" s="22" t="str">
        <f t="shared" si="11"/>
        <v/>
      </c>
    </row>
    <row r="765" spans="1:1">
      <c r="A765" s="22" t="str">
        <f t="shared" si="11"/>
        <v/>
      </c>
    </row>
    <row r="766" spans="1:1">
      <c r="A766" s="22" t="str">
        <f t="shared" si="11"/>
        <v/>
      </c>
    </row>
    <row r="767" spans="1:1">
      <c r="A767" s="22" t="str">
        <f t="shared" si="11"/>
        <v/>
      </c>
    </row>
    <row r="768" spans="1:1">
      <c r="A768" s="22" t="str">
        <f t="shared" si="11"/>
        <v/>
      </c>
    </row>
    <row r="769" spans="1:1">
      <c r="A769" s="22" t="str">
        <f t="shared" si="11"/>
        <v/>
      </c>
    </row>
    <row r="770" spans="1:1">
      <c r="A770" s="22" t="str">
        <f t="shared" si="11"/>
        <v/>
      </c>
    </row>
    <row r="771" spans="1:1">
      <c r="A771" s="22" t="str">
        <f t="shared" si="11"/>
        <v/>
      </c>
    </row>
    <row r="772" spans="1:1">
      <c r="A772" s="22" t="str">
        <f t="shared" si="11"/>
        <v/>
      </c>
    </row>
    <row r="773" spans="1:1">
      <c r="A773" s="22" t="str">
        <f t="shared" si="11"/>
        <v/>
      </c>
    </row>
    <row r="774" spans="1:1">
      <c r="A774" s="22" t="str">
        <f t="shared" si="11"/>
        <v/>
      </c>
    </row>
    <row r="775" spans="1:1">
      <c r="A775" s="22" t="str">
        <f t="shared" si="11"/>
        <v/>
      </c>
    </row>
    <row r="776" spans="1:1">
      <c r="A776" s="22" t="str">
        <f t="shared" si="11"/>
        <v/>
      </c>
    </row>
    <row r="777" spans="1:1">
      <c r="A777" s="22" t="str">
        <f t="shared" si="11"/>
        <v/>
      </c>
    </row>
    <row r="778" spans="1:1">
      <c r="A778" s="22" t="str">
        <f t="shared" ref="A778:A841" si="12">IF(LEN(B778)&lt;&gt;0,ROW()-9,"")</f>
        <v/>
      </c>
    </row>
    <row r="779" spans="1:1">
      <c r="A779" s="22" t="str">
        <f t="shared" si="12"/>
        <v/>
      </c>
    </row>
    <row r="780" spans="1:1">
      <c r="A780" s="22" t="str">
        <f t="shared" si="12"/>
        <v/>
      </c>
    </row>
    <row r="781" spans="1:1">
      <c r="A781" s="22" t="str">
        <f t="shared" si="12"/>
        <v/>
      </c>
    </row>
    <row r="782" spans="1:1">
      <c r="A782" s="22" t="str">
        <f t="shared" si="12"/>
        <v/>
      </c>
    </row>
    <row r="783" spans="1:1">
      <c r="A783" s="22" t="str">
        <f t="shared" si="12"/>
        <v/>
      </c>
    </row>
    <row r="784" spans="1:1">
      <c r="A784" s="22" t="str">
        <f t="shared" si="12"/>
        <v/>
      </c>
    </row>
    <row r="785" spans="1:1">
      <c r="A785" s="22" t="str">
        <f t="shared" si="12"/>
        <v/>
      </c>
    </row>
    <row r="786" spans="1:1">
      <c r="A786" s="22" t="str">
        <f t="shared" si="12"/>
        <v/>
      </c>
    </row>
    <row r="787" spans="1:1">
      <c r="A787" s="22" t="str">
        <f t="shared" si="12"/>
        <v/>
      </c>
    </row>
    <row r="788" spans="1:1">
      <c r="A788" s="22" t="str">
        <f t="shared" si="12"/>
        <v/>
      </c>
    </row>
    <row r="789" spans="1:1">
      <c r="A789" s="22" t="str">
        <f t="shared" si="12"/>
        <v/>
      </c>
    </row>
    <row r="790" spans="1:1">
      <c r="A790" s="22" t="str">
        <f t="shared" si="12"/>
        <v/>
      </c>
    </row>
    <row r="791" spans="1:1">
      <c r="A791" s="22" t="str">
        <f t="shared" si="12"/>
        <v/>
      </c>
    </row>
    <row r="792" spans="1:1">
      <c r="A792" s="22" t="str">
        <f t="shared" si="12"/>
        <v/>
      </c>
    </row>
    <row r="793" spans="1:1">
      <c r="A793" s="22" t="str">
        <f t="shared" si="12"/>
        <v/>
      </c>
    </row>
    <row r="794" spans="1:1">
      <c r="A794" s="22" t="str">
        <f t="shared" si="12"/>
        <v/>
      </c>
    </row>
    <row r="795" spans="1:1">
      <c r="A795" s="22" t="str">
        <f t="shared" si="12"/>
        <v/>
      </c>
    </row>
    <row r="796" spans="1:1">
      <c r="A796" s="22" t="str">
        <f t="shared" si="12"/>
        <v/>
      </c>
    </row>
    <row r="797" spans="1:1">
      <c r="A797" s="22" t="str">
        <f t="shared" si="12"/>
        <v/>
      </c>
    </row>
    <row r="798" spans="1:1">
      <c r="A798" s="22" t="str">
        <f t="shared" si="12"/>
        <v/>
      </c>
    </row>
    <row r="799" spans="1:1">
      <c r="A799" s="22" t="str">
        <f t="shared" si="12"/>
        <v/>
      </c>
    </row>
    <row r="800" spans="1:1">
      <c r="A800" s="22" t="str">
        <f t="shared" si="12"/>
        <v/>
      </c>
    </row>
    <row r="801" spans="1:1">
      <c r="A801" s="22" t="str">
        <f t="shared" si="12"/>
        <v/>
      </c>
    </row>
    <row r="802" spans="1:1">
      <c r="A802" s="22" t="str">
        <f t="shared" si="12"/>
        <v/>
      </c>
    </row>
    <row r="803" spans="1:1">
      <c r="A803" s="22" t="str">
        <f t="shared" si="12"/>
        <v/>
      </c>
    </row>
    <row r="804" spans="1:1">
      <c r="A804" s="22" t="str">
        <f t="shared" si="12"/>
        <v/>
      </c>
    </row>
    <row r="805" spans="1:1">
      <c r="A805" s="22" t="str">
        <f t="shared" si="12"/>
        <v/>
      </c>
    </row>
    <row r="806" spans="1:1">
      <c r="A806" s="22" t="str">
        <f t="shared" si="12"/>
        <v/>
      </c>
    </row>
    <row r="807" spans="1:1">
      <c r="A807" s="22" t="str">
        <f t="shared" si="12"/>
        <v/>
      </c>
    </row>
    <row r="808" spans="1:1">
      <c r="A808" s="22" t="str">
        <f t="shared" si="12"/>
        <v/>
      </c>
    </row>
    <row r="809" spans="1:1">
      <c r="A809" s="22" t="str">
        <f t="shared" si="12"/>
        <v/>
      </c>
    </row>
    <row r="810" spans="1:1">
      <c r="A810" s="22" t="str">
        <f t="shared" si="12"/>
        <v/>
      </c>
    </row>
    <row r="811" spans="1:1">
      <c r="A811" s="22" t="str">
        <f t="shared" si="12"/>
        <v/>
      </c>
    </row>
    <row r="812" spans="1:1">
      <c r="A812" s="22" t="str">
        <f t="shared" si="12"/>
        <v/>
      </c>
    </row>
    <row r="813" spans="1:1">
      <c r="A813" s="22" t="str">
        <f t="shared" si="12"/>
        <v/>
      </c>
    </row>
    <row r="814" spans="1:1">
      <c r="A814" s="22" t="str">
        <f t="shared" si="12"/>
        <v/>
      </c>
    </row>
    <row r="815" spans="1:1">
      <c r="A815" s="22" t="str">
        <f t="shared" si="12"/>
        <v/>
      </c>
    </row>
    <row r="816" spans="1:1">
      <c r="A816" s="22" t="str">
        <f t="shared" si="12"/>
        <v/>
      </c>
    </row>
    <row r="817" spans="1:1">
      <c r="A817" s="22" t="str">
        <f t="shared" si="12"/>
        <v/>
      </c>
    </row>
    <row r="818" spans="1:1">
      <c r="A818" s="22" t="str">
        <f t="shared" si="12"/>
        <v/>
      </c>
    </row>
    <row r="819" spans="1:1">
      <c r="A819" s="22" t="str">
        <f t="shared" si="12"/>
        <v/>
      </c>
    </row>
    <row r="820" spans="1:1">
      <c r="A820" s="22" t="str">
        <f t="shared" si="12"/>
        <v/>
      </c>
    </row>
    <row r="821" spans="1:1">
      <c r="A821" s="22" t="str">
        <f t="shared" si="12"/>
        <v/>
      </c>
    </row>
    <row r="822" spans="1:1">
      <c r="A822" s="22" t="str">
        <f t="shared" si="12"/>
        <v/>
      </c>
    </row>
    <row r="823" spans="1:1">
      <c r="A823" s="22" t="str">
        <f t="shared" si="12"/>
        <v/>
      </c>
    </row>
    <row r="824" spans="1:1">
      <c r="A824" s="22" t="str">
        <f t="shared" si="12"/>
        <v/>
      </c>
    </row>
    <row r="825" spans="1:1">
      <c r="A825" s="22" t="str">
        <f t="shared" si="12"/>
        <v/>
      </c>
    </row>
    <row r="826" spans="1:1">
      <c r="A826" s="22" t="str">
        <f t="shared" si="12"/>
        <v/>
      </c>
    </row>
    <row r="827" spans="1:1">
      <c r="A827" s="22" t="str">
        <f t="shared" si="12"/>
        <v/>
      </c>
    </row>
    <row r="828" spans="1:1">
      <c r="A828" s="22" t="str">
        <f t="shared" si="12"/>
        <v/>
      </c>
    </row>
    <row r="829" spans="1:1">
      <c r="A829" s="22" t="str">
        <f t="shared" si="12"/>
        <v/>
      </c>
    </row>
    <row r="830" spans="1:1">
      <c r="A830" s="22" t="str">
        <f t="shared" si="12"/>
        <v/>
      </c>
    </row>
    <row r="831" spans="1:1">
      <c r="A831" s="22" t="str">
        <f t="shared" si="12"/>
        <v/>
      </c>
    </row>
    <row r="832" spans="1:1">
      <c r="A832" s="22" t="str">
        <f t="shared" si="12"/>
        <v/>
      </c>
    </row>
    <row r="833" spans="1:1">
      <c r="A833" s="22" t="str">
        <f t="shared" si="12"/>
        <v/>
      </c>
    </row>
    <row r="834" spans="1:1">
      <c r="A834" s="22" t="str">
        <f t="shared" si="12"/>
        <v/>
      </c>
    </row>
    <row r="835" spans="1:1">
      <c r="A835" s="22" t="str">
        <f t="shared" si="12"/>
        <v/>
      </c>
    </row>
    <row r="836" spans="1:1">
      <c r="A836" s="22" t="str">
        <f t="shared" si="12"/>
        <v/>
      </c>
    </row>
    <row r="837" spans="1:1">
      <c r="A837" s="22" t="str">
        <f t="shared" si="12"/>
        <v/>
      </c>
    </row>
    <row r="838" spans="1:1">
      <c r="A838" s="22" t="str">
        <f t="shared" si="12"/>
        <v/>
      </c>
    </row>
    <row r="839" spans="1:1">
      <c r="A839" s="22" t="str">
        <f t="shared" si="12"/>
        <v/>
      </c>
    </row>
    <row r="840" spans="1:1">
      <c r="A840" s="22" t="str">
        <f t="shared" si="12"/>
        <v/>
      </c>
    </row>
    <row r="841" spans="1:1">
      <c r="A841" s="22" t="str">
        <f t="shared" si="12"/>
        <v/>
      </c>
    </row>
    <row r="842" spans="1:1">
      <c r="A842" s="22" t="str">
        <f t="shared" ref="A842:A905" si="13">IF(LEN(B842)&lt;&gt;0,ROW()-9,"")</f>
        <v/>
      </c>
    </row>
    <row r="843" spans="1:1">
      <c r="A843" s="22" t="str">
        <f t="shared" si="13"/>
        <v/>
      </c>
    </row>
    <row r="844" spans="1:1">
      <c r="A844" s="22" t="str">
        <f t="shared" si="13"/>
        <v/>
      </c>
    </row>
    <row r="845" spans="1:1">
      <c r="A845" s="22" t="str">
        <f t="shared" si="13"/>
        <v/>
      </c>
    </row>
    <row r="846" spans="1:1">
      <c r="A846" s="22" t="str">
        <f t="shared" si="13"/>
        <v/>
      </c>
    </row>
    <row r="847" spans="1:1">
      <c r="A847" s="22" t="str">
        <f t="shared" si="13"/>
        <v/>
      </c>
    </row>
    <row r="848" spans="1:1">
      <c r="A848" s="22" t="str">
        <f t="shared" si="13"/>
        <v/>
      </c>
    </row>
    <row r="849" spans="1:1">
      <c r="A849" s="22" t="str">
        <f t="shared" si="13"/>
        <v/>
      </c>
    </row>
    <row r="850" spans="1:1">
      <c r="A850" s="22" t="str">
        <f t="shared" si="13"/>
        <v/>
      </c>
    </row>
    <row r="851" spans="1:1">
      <c r="A851" s="22" t="str">
        <f t="shared" si="13"/>
        <v/>
      </c>
    </row>
    <row r="852" spans="1:1">
      <c r="A852" s="22" t="str">
        <f t="shared" si="13"/>
        <v/>
      </c>
    </row>
    <row r="853" spans="1:1">
      <c r="A853" s="22" t="str">
        <f t="shared" si="13"/>
        <v/>
      </c>
    </row>
    <row r="854" spans="1:1">
      <c r="A854" s="22" t="str">
        <f t="shared" si="13"/>
        <v/>
      </c>
    </row>
    <row r="855" spans="1:1">
      <c r="A855" s="22" t="str">
        <f t="shared" si="13"/>
        <v/>
      </c>
    </row>
    <row r="856" spans="1:1">
      <c r="A856" s="22" t="str">
        <f t="shared" si="13"/>
        <v/>
      </c>
    </row>
    <row r="857" spans="1:1">
      <c r="A857" s="22" t="str">
        <f t="shared" si="13"/>
        <v/>
      </c>
    </row>
    <row r="858" spans="1:1">
      <c r="A858" s="22" t="str">
        <f t="shared" si="13"/>
        <v/>
      </c>
    </row>
    <row r="859" spans="1:1">
      <c r="A859" s="22" t="str">
        <f t="shared" si="13"/>
        <v/>
      </c>
    </row>
    <row r="860" spans="1:1">
      <c r="A860" s="22" t="str">
        <f t="shared" si="13"/>
        <v/>
      </c>
    </row>
    <row r="861" spans="1:1">
      <c r="A861" s="22" t="str">
        <f t="shared" si="13"/>
        <v/>
      </c>
    </row>
    <row r="862" spans="1:1">
      <c r="A862" s="22" t="str">
        <f t="shared" si="13"/>
        <v/>
      </c>
    </row>
    <row r="863" spans="1:1">
      <c r="A863" s="22" t="str">
        <f t="shared" si="13"/>
        <v/>
      </c>
    </row>
    <row r="864" spans="1:1">
      <c r="A864" s="22" t="str">
        <f t="shared" si="13"/>
        <v/>
      </c>
    </row>
    <row r="865" spans="1:1">
      <c r="A865" s="22" t="str">
        <f t="shared" si="13"/>
        <v/>
      </c>
    </row>
    <row r="866" spans="1:1">
      <c r="A866" s="22" t="str">
        <f t="shared" si="13"/>
        <v/>
      </c>
    </row>
    <row r="867" spans="1:1">
      <c r="A867" s="22" t="str">
        <f t="shared" si="13"/>
        <v/>
      </c>
    </row>
    <row r="868" spans="1:1">
      <c r="A868" s="22" t="str">
        <f t="shared" si="13"/>
        <v/>
      </c>
    </row>
    <row r="869" spans="1:1">
      <c r="A869" s="22" t="str">
        <f t="shared" si="13"/>
        <v/>
      </c>
    </row>
    <row r="870" spans="1:1">
      <c r="A870" s="22" t="str">
        <f t="shared" si="13"/>
        <v/>
      </c>
    </row>
    <row r="871" spans="1:1">
      <c r="A871" s="22" t="str">
        <f t="shared" si="13"/>
        <v/>
      </c>
    </row>
    <row r="872" spans="1:1">
      <c r="A872" s="22" t="str">
        <f t="shared" si="13"/>
        <v/>
      </c>
    </row>
    <row r="873" spans="1:1">
      <c r="A873" s="22" t="str">
        <f t="shared" si="13"/>
        <v/>
      </c>
    </row>
    <row r="874" spans="1:1">
      <c r="A874" s="22" t="str">
        <f t="shared" si="13"/>
        <v/>
      </c>
    </row>
    <row r="875" spans="1:1">
      <c r="A875" s="22" t="str">
        <f t="shared" si="13"/>
        <v/>
      </c>
    </row>
    <row r="876" spans="1:1">
      <c r="A876" s="22" t="str">
        <f t="shared" si="13"/>
        <v/>
      </c>
    </row>
    <row r="877" spans="1:1">
      <c r="A877" s="22" t="str">
        <f t="shared" si="13"/>
        <v/>
      </c>
    </row>
    <row r="878" spans="1:1">
      <c r="A878" s="22" t="str">
        <f t="shared" si="13"/>
        <v/>
      </c>
    </row>
    <row r="879" spans="1:1">
      <c r="A879" s="22" t="str">
        <f t="shared" si="13"/>
        <v/>
      </c>
    </row>
    <row r="880" spans="1:1">
      <c r="A880" s="22" t="str">
        <f t="shared" si="13"/>
        <v/>
      </c>
    </row>
    <row r="881" spans="1:1">
      <c r="A881" s="22" t="str">
        <f t="shared" si="13"/>
        <v/>
      </c>
    </row>
    <row r="882" spans="1:1">
      <c r="A882" s="22" t="str">
        <f t="shared" si="13"/>
        <v/>
      </c>
    </row>
    <row r="883" spans="1:1">
      <c r="A883" s="22" t="str">
        <f t="shared" si="13"/>
        <v/>
      </c>
    </row>
    <row r="884" spans="1:1">
      <c r="A884" s="22" t="str">
        <f t="shared" si="13"/>
        <v/>
      </c>
    </row>
    <row r="885" spans="1:1">
      <c r="A885" s="22" t="str">
        <f t="shared" si="13"/>
        <v/>
      </c>
    </row>
    <row r="886" spans="1:1">
      <c r="A886" s="22" t="str">
        <f t="shared" si="13"/>
        <v/>
      </c>
    </row>
    <row r="887" spans="1:1">
      <c r="A887" s="22" t="str">
        <f t="shared" si="13"/>
        <v/>
      </c>
    </row>
    <row r="888" spans="1:1">
      <c r="A888" s="22" t="str">
        <f t="shared" si="13"/>
        <v/>
      </c>
    </row>
    <row r="889" spans="1:1">
      <c r="A889" s="22" t="str">
        <f t="shared" si="13"/>
        <v/>
      </c>
    </row>
    <row r="890" spans="1:1">
      <c r="A890" s="22" t="str">
        <f t="shared" si="13"/>
        <v/>
      </c>
    </row>
    <row r="891" spans="1:1">
      <c r="A891" s="22" t="str">
        <f t="shared" si="13"/>
        <v/>
      </c>
    </row>
    <row r="892" spans="1:1">
      <c r="A892" s="22" t="str">
        <f t="shared" si="13"/>
        <v/>
      </c>
    </row>
    <row r="893" spans="1:1">
      <c r="A893" s="22" t="str">
        <f t="shared" si="13"/>
        <v/>
      </c>
    </row>
    <row r="894" spans="1:1">
      <c r="A894" s="22" t="str">
        <f t="shared" si="13"/>
        <v/>
      </c>
    </row>
    <row r="895" spans="1:1">
      <c r="A895" s="22" t="str">
        <f t="shared" si="13"/>
        <v/>
      </c>
    </row>
    <row r="896" spans="1:1">
      <c r="A896" s="22" t="str">
        <f t="shared" si="13"/>
        <v/>
      </c>
    </row>
    <row r="897" spans="1:1">
      <c r="A897" s="22" t="str">
        <f t="shared" si="13"/>
        <v/>
      </c>
    </row>
    <row r="898" spans="1:1">
      <c r="A898" s="22" t="str">
        <f t="shared" si="13"/>
        <v/>
      </c>
    </row>
    <row r="899" spans="1:1">
      <c r="A899" s="22" t="str">
        <f t="shared" si="13"/>
        <v/>
      </c>
    </row>
    <row r="900" spans="1:1">
      <c r="A900" s="22" t="str">
        <f t="shared" si="13"/>
        <v/>
      </c>
    </row>
    <row r="901" spans="1:1">
      <c r="A901" s="22" t="str">
        <f t="shared" si="13"/>
        <v/>
      </c>
    </row>
    <row r="902" spans="1:1">
      <c r="A902" s="22" t="str">
        <f t="shared" si="13"/>
        <v/>
      </c>
    </row>
    <row r="903" spans="1:1">
      <c r="A903" s="22" t="str">
        <f t="shared" si="13"/>
        <v/>
      </c>
    </row>
    <row r="904" spans="1:1">
      <c r="A904" s="22" t="str">
        <f t="shared" si="13"/>
        <v/>
      </c>
    </row>
    <row r="905" spans="1:1">
      <c r="A905" s="22" t="str">
        <f t="shared" si="13"/>
        <v/>
      </c>
    </row>
    <row r="906" spans="1:1">
      <c r="A906" s="22" t="str">
        <f t="shared" ref="A906:A969" si="14">IF(LEN(B906)&lt;&gt;0,ROW()-9,"")</f>
        <v/>
      </c>
    </row>
    <row r="907" spans="1:1">
      <c r="A907" s="22" t="str">
        <f t="shared" si="14"/>
        <v/>
      </c>
    </row>
    <row r="908" spans="1:1">
      <c r="A908" s="22" t="str">
        <f t="shared" si="14"/>
        <v/>
      </c>
    </row>
    <row r="909" spans="1:1">
      <c r="A909" s="22" t="str">
        <f t="shared" si="14"/>
        <v/>
      </c>
    </row>
    <row r="910" spans="1:1">
      <c r="A910" s="22" t="str">
        <f t="shared" si="14"/>
        <v/>
      </c>
    </row>
    <row r="911" spans="1:1">
      <c r="A911" s="22" t="str">
        <f t="shared" si="14"/>
        <v/>
      </c>
    </row>
    <row r="912" spans="1:1">
      <c r="A912" s="22" t="str">
        <f t="shared" si="14"/>
        <v/>
      </c>
    </row>
    <row r="913" spans="1:1">
      <c r="A913" s="22" t="str">
        <f t="shared" si="14"/>
        <v/>
      </c>
    </row>
    <row r="914" spans="1:1">
      <c r="A914" s="22" t="str">
        <f t="shared" si="14"/>
        <v/>
      </c>
    </row>
    <row r="915" spans="1:1">
      <c r="A915" s="22" t="str">
        <f t="shared" si="14"/>
        <v/>
      </c>
    </row>
    <row r="916" spans="1:1">
      <c r="A916" s="22" t="str">
        <f t="shared" si="14"/>
        <v/>
      </c>
    </row>
    <row r="917" spans="1:1">
      <c r="A917" s="22" t="str">
        <f t="shared" si="14"/>
        <v/>
      </c>
    </row>
    <row r="918" spans="1:1">
      <c r="A918" s="22" t="str">
        <f t="shared" si="14"/>
        <v/>
      </c>
    </row>
    <row r="919" spans="1:1">
      <c r="A919" s="22" t="str">
        <f t="shared" si="14"/>
        <v/>
      </c>
    </row>
    <row r="920" spans="1:1">
      <c r="A920" s="22" t="str">
        <f t="shared" si="14"/>
        <v/>
      </c>
    </row>
    <row r="921" spans="1:1">
      <c r="A921" s="22" t="str">
        <f t="shared" si="14"/>
        <v/>
      </c>
    </row>
    <row r="922" spans="1:1">
      <c r="A922" s="22" t="str">
        <f t="shared" si="14"/>
        <v/>
      </c>
    </row>
    <row r="923" spans="1:1">
      <c r="A923" s="22" t="str">
        <f t="shared" si="14"/>
        <v/>
      </c>
    </row>
    <row r="924" spans="1:1">
      <c r="A924" s="22" t="str">
        <f t="shared" si="14"/>
        <v/>
      </c>
    </row>
    <row r="925" spans="1:1">
      <c r="A925" s="22" t="str">
        <f t="shared" si="14"/>
        <v/>
      </c>
    </row>
    <row r="926" spans="1:1">
      <c r="A926" s="22" t="str">
        <f t="shared" si="14"/>
        <v/>
      </c>
    </row>
    <row r="927" spans="1:1">
      <c r="A927" s="22" t="str">
        <f t="shared" si="14"/>
        <v/>
      </c>
    </row>
    <row r="928" spans="1:1">
      <c r="A928" s="22" t="str">
        <f t="shared" si="14"/>
        <v/>
      </c>
    </row>
    <row r="929" spans="1:1">
      <c r="A929" s="22" t="str">
        <f t="shared" si="14"/>
        <v/>
      </c>
    </row>
    <row r="930" spans="1:1">
      <c r="A930" s="22" t="str">
        <f t="shared" si="14"/>
        <v/>
      </c>
    </row>
    <row r="931" spans="1:1">
      <c r="A931" s="22" t="str">
        <f t="shared" si="14"/>
        <v/>
      </c>
    </row>
    <row r="932" spans="1:1">
      <c r="A932" s="22" t="str">
        <f t="shared" si="14"/>
        <v/>
      </c>
    </row>
    <row r="933" spans="1:1">
      <c r="A933" s="22" t="str">
        <f t="shared" si="14"/>
        <v/>
      </c>
    </row>
    <row r="934" spans="1:1">
      <c r="A934" s="22" t="str">
        <f t="shared" si="14"/>
        <v/>
      </c>
    </row>
    <row r="935" spans="1:1">
      <c r="A935" s="22" t="str">
        <f t="shared" si="14"/>
        <v/>
      </c>
    </row>
    <row r="936" spans="1:1">
      <c r="A936" s="22" t="str">
        <f t="shared" si="14"/>
        <v/>
      </c>
    </row>
    <row r="937" spans="1:1">
      <c r="A937" s="22" t="str">
        <f t="shared" si="14"/>
        <v/>
      </c>
    </row>
    <row r="938" spans="1:1">
      <c r="A938" s="22" t="str">
        <f t="shared" si="14"/>
        <v/>
      </c>
    </row>
    <row r="939" spans="1:1">
      <c r="A939" s="22" t="str">
        <f t="shared" si="14"/>
        <v/>
      </c>
    </row>
    <row r="940" spans="1:1">
      <c r="A940" s="22" t="str">
        <f t="shared" si="14"/>
        <v/>
      </c>
    </row>
    <row r="941" spans="1:1">
      <c r="A941" s="22" t="str">
        <f t="shared" si="14"/>
        <v/>
      </c>
    </row>
    <row r="942" spans="1:1">
      <c r="A942" s="22" t="str">
        <f t="shared" si="14"/>
        <v/>
      </c>
    </row>
    <row r="943" spans="1:1">
      <c r="A943" s="22" t="str">
        <f t="shared" si="14"/>
        <v/>
      </c>
    </row>
    <row r="944" spans="1:1">
      <c r="A944" s="22" t="str">
        <f t="shared" si="14"/>
        <v/>
      </c>
    </row>
    <row r="945" spans="1:1">
      <c r="A945" s="22" t="str">
        <f t="shared" si="14"/>
        <v/>
      </c>
    </row>
    <row r="946" spans="1:1">
      <c r="A946" s="22" t="str">
        <f t="shared" si="14"/>
        <v/>
      </c>
    </row>
    <row r="947" spans="1:1">
      <c r="A947" s="22" t="str">
        <f t="shared" si="14"/>
        <v/>
      </c>
    </row>
    <row r="948" spans="1:1">
      <c r="A948" s="22" t="str">
        <f t="shared" si="14"/>
        <v/>
      </c>
    </row>
    <row r="949" spans="1:1">
      <c r="A949" s="22" t="str">
        <f t="shared" si="14"/>
        <v/>
      </c>
    </row>
    <row r="950" spans="1:1">
      <c r="A950" s="22" t="str">
        <f t="shared" si="14"/>
        <v/>
      </c>
    </row>
    <row r="951" spans="1:1">
      <c r="A951" s="22" t="str">
        <f t="shared" si="14"/>
        <v/>
      </c>
    </row>
    <row r="952" spans="1:1">
      <c r="A952" s="22" t="str">
        <f t="shared" si="14"/>
        <v/>
      </c>
    </row>
    <row r="953" spans="1:1">
      <c r="A953" s="22" t="str">
        <f t="shared" si="14"/>
        <v/>
      </c>
    </row>
    <row r="954" spans="1:1">
      <c r="A954" s="22" t="str">
        <f t="shared" si="14"/>
        <v/>
      </c>
    </row>
    <row r="955" spans="1:1">
      <c r="A955" s="22" t="str">
        <f t="shared" si="14"/>
        <v/>
      </c>
    </row>
    <row r="956" spans="1:1">
      <c r="A956" s="22" t="str">
        <f t="shared" si="14"/>
        <v/>
      </c>
    </row>
    <row r="957" spans="1:1">
      <c r="A957" s="22" t="str">
        <f t="shared" si="14"/>
        <v/>
      </c>
    </row>
    <row r="958" spans="1:1">
      <c r="A958" s="22" t="str">
        <f t="shared" si="14"/>
        <v/>
      </c>
    </row>
    <row r="959" spans="1:1">
      <c r="A959" s="22" t="str">
        <f t="shared" si="14"/>
        <v/>
      </c>
    </row>
    <row r="960" spans="1:1">
      <c r="A960" s="22" t="str">
        <f t="shared" si="14"/>
        <v/>
      </c>
    </row>
    <row r="961" spans="1:1">
      <c r="A961" s="22" t="str">
        <f t="shared" si="14"/>
        <v/>
      </c>
    </row>
    <row r="962" spans="1:1">
      <c r="A962" s="22" t="str">
        <f t="shared" si="14"/>
        <v/>
      </c>
    </row>
    <row r="963" spans="1:1">
      <c r="A963" s="22" t="str">
        <f t="shared" si="14"/>
        <v/>
      </c>
    </row>
    <row r="964" spans="1:1">
      <c r="A964" s="22" t="str">
        <f t="shared" si="14"/>
        <v/>
      </c>
    </row>
    <row r="965" spans="1:1">
      <c r="A965" s="22" t="str">
        <f t="shared" si="14"/>
        <v/>
      </c>
    </row>
    <row r="966" spans="1:1">
      <c r="A966" s="22" t="str">
        <f t="shared" si="14"/>
        <v/>
      </c>
    </row>
    <row r="967" spans="1:1">
      <c r="A967" s="22" t="str">
        <f t="shared" si="14"/>
        <v/>
      </c>
    </row>
    <row r="968" spans="1:1">
      <c r="A968" s="22" t="str">
        <f t="shared" si="14"/>
        <v/>
      </c>
    </row>
    <row r="969" spans="1:1">
      <c r="A969" s="22" t="str">
        <f t="shared" si="14"/>
        <v/>
      </c>
    </row>
    <row r="970" spans="1:1">
      <c r="A970" s="22" t="str">
        <f t="shared" ref="A970:A1000" si="15">IF(LEN(B970)&lt;&gt;0,ROW()-9,"")</f>
        <v/>
      </c>
    </row>
    <row r="971" spans="1:1">
      <c r="A971" s="22" t="str">
        <f t="shared" si="15"/>
        <v/>
      </c>
    </row>
    <row r="972" spans="1:1">
      <c r="A972" s="22" t="str">
        <f t="shared" si="15"/>
        <v/>
      </c>
    </row>
    <row r="973" spans="1:1">
      <c r="A973" s="22" t="str">
        <f t="shared" si="15"/>
        <v/>
      </c>
    </row>
    <row r="974" spans="1:1">
      <c r="A974" s="22" t="str">
        <f t="shared" si="15"/>
        <v/>
      </c>
    </row>
    <row r="975" spans="1:1">
      <c r="A975" s="22" t="str">
        <f t="shared" si="15"/>
        <v/>
      </c>
    </row>
    <row r="976" spans="1:1">
      <c r="A976" s="22" t="str">
        <f t="shared" si="15"/>
        <v/>
      </c>
    </row>
    <row r="977" spans="1:1">
      <c r="A977" s="22" t="str">
        <f t="shared" si="15"/>
        <v/>
      </c>
    </row>
    <row r="978" spans="1:1">
      <c r="A978" s="22" t="str">
        <f t="shared" si="15"/>
        <v/>
      </c>
    </row>
    <row r="979" spans="1:1">
      <c r="A979" s="22" t="str">
        <f t="shared" si="15"/>
        <v/>
      </c>
    </row>
    <row r="980" spans="1:1">
      <c r="A980" s="22" t="str">
        <f t="shared" si="15"/>
        <v/>
      </c>
    </row>
    <row r="981" spans="1:1">
      <c r="A981" s="22" t="str">
        <f t="shared" si="15"/>
        <v/>
      </c>
    </row>
    <row r="982" spans="1:1">
      <c r="A982" s="22" t="str">
        <f t="shared" si="15"/>
        <v/>
      </c>
    </row>
    <row r="983" spans="1:1">
      <c r="A983" s="22" t="str">
        <f t="shared" si="15"/>
        <v/>
      </c>
    </row>
    <row r="984" spans="1:1">
      <c r="A984" s="22" t="str">
        <f t="shared" si="15"/>
        <v/>
      </c>
    </row>
    <row r="985" spans="1:1">
      <c r="A985" s="22" t="str">
        <f t="shared" si="15"/>
        <v/>
      </c>
    </row>
    <row r="986" spans="1:1">
      <c r="A986" s="22" t="str">
        <f t="shared" si="15"/>
        <v/>
      </c>
    </row>
    <row r="987" spans="1:1">
      <c r="A987" s="22" t="str">
        <f t="shared" si="15"/>
        <v/>
      </c>
    </row>
    <row r="988" spans="1:1">
      <c r="A988" s="22" t="str">
        <f t="shared" si="15"/>
        <v/>
      </c>
    </row>
    <row r="989" spans="1:1">
      <c r="A989" s="22" t="str">
        <f t="shared" si="15"/>
        <v/>
      </c>
    </row>
    <row r="990" spans="1:1">
      <c r="A990" s="22" t="str">
        <f t="shared" si="15"/>
        <v/>
      </c>
    </row>
    <row r="991" spans="1:1">
      <c r="A991" s="22" t="str">
        <f t="shared" si="15"/>
        <v/>
      </c>
    </row>
    <row r="992" spans="1:1">
      <c r="A992" s="22" t="str">
        <f t="shared" si="15"/>
        <v/>
      </c>
    </row>
    <row r="993" spans="1:1">
      <c r="A993" s="22" t="str">
        <f t="shared" si="15"/>
        <v/>
      </c>
    </row>
    <row r="994" spans="1:1">
      <c r="A994" s="22" t="str">
        <f t="shared" si="15"/>
        <v/>
      </c>
    </row>
    <row r="995" spans="1:1">
      <c r="A995" s="22" t="str">
        <f t="shared" si="15"/>
        <v/>
      </c>
    </row>
    <row r="996" spans="1:1">
      <c r="A996" s="22" t="str">
        <f t="shared" si="15"/>
        <v/>
      </c>
    </row>
    <row r="997" spans="1:1">
      <c r="A997" s="22" t="str">
        <f t="shared" si="15"/>
        <v/>
      </c>
    </row>
    <row r="998" spans="1:1">
      <c r="A998" s="22" t="str">
        <f t="shared" si="15"/>
        <v/>
      </c>
    </row>
    <row r="999" spans="1:1">
      <c r="A999" s="22" t="str">
        <f t="shared" si="15"/>
        <v/>
      </c>
    </row>
    <row r="1000" spans="1:1">
      <c r="A1000" s="22" t="str">
        <f t="shared" si="15"/>
        <v/>
      </c>
    </row>
  </sheetData>
  <conditionalFormatting sqref="A9">
    <cfRule type="notContainsBlanks" dxfId="8" priority="12">
      <formula>LEN(TRIM(A9))&gt;0</formula>
    </cfRule>
  </conditionalFormatting>
  <conditionalFormatting sqref="A10:M1009">
    <cfRule type="notContainsBlanks" dxfId="7" priority="4">
      <formula>LEN(TRIM(A10))&gt;0</formula>
    </cfRule>
  </conditionalFormatting>
  <dataValidations count="3">
    <dataValidation type="list" allowBlank="1" showInputMessage="1" showErrorMessage="1" sqref="B4">
      <formula1>DaftarKontak</formula1>
    </dataValidation>
    <dataValidation type="list" allowBlank="1" showInputMessage="1" showErrorMessage="1" sqref="C4">
      <formula1>CariPembeli</formula1>
    </dataValidation>
    <dataValidation type="list" allowBlank="1" showInputMessage="1" showErrorMessage="1" sqref="D4">
      <formula1>Status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"/>
  <dimension ref="A1:AO2"/>
  <sheetViews>
    <sheetView showGridLines="0" topLeftCell="B1" workbookViewId="0">
      <selection activeCell="C6" sqref="C6"/>
    </sheetView>
  </sheetViews>
  <sheetFormatPr defaultRowHeight="13.5"/>
  <cols>
    <col min="1" max="1" width="9.140625" style="16" hidden="1" customWidth="1"/>
    <col min="2" max="2" width="15.7109375" style="80" customWidth="1"/>
    <col min="3" max="3" width="19" style="16" customWidth="1"/>
    <col min="4" max="41" width="15.7109375" style="16" customWidth="1"/>
    <col min="42" max="16384" width="9.140625" style="16"/>
  </cols>
  <sheetData>
    <row r="1" spans="1:41" s="76" customFormat="1" ht="27">
      <c r="A1" s="76" t="s">
        <v>147</v>
      </c>
      <c r="B1" s="143" t="s">
        <v>107</v>
      </c>
      <c r="C1" s="144" t="s">
        <v>108</v>
      </c>
      <c r="D1" s="144" t="s">
        <v>109</v>
      </c>
      <c r="E1" s="144" t="s">
        <v>110</v>
      </c>
      <c r="F1" s="144" t="s">
        <v>111</v>
      </c>
      <c r="G1" s="144" t="s">
        <v>112</v>
      </c>
      <c r="H1" s="144" t="s">
        <v>113</v>
      </c>
      <c r="I1" s="144" t="s">
        <v>114</v>
      </c>
      <c r="J1" s="144" t="s">
        <v>115</v>
      </c>
      <c r="K1" s="144" t="s">
        <v>116</v>
      </c>
      <c r="L1" s="144" t="s">
        <v>117</v>
      </c>
      <c r="M1" s="144" t="s">
        <v>118</v>
      </c>
      <c r="N1" s="144" t="s">
        <v>119</v>
      </c>
      <c r="O1" s="144" t="s">
        <v>120</v>
      </c>
      <c r="P1" s="144" t="s">
        <v>121</v>
      </c>
      <c r="Q1" s="144" t="s">
        <v>122</v>
      </c>
      <c r="R1" s="144" t="s">
        <v>123</v>
      </c>
      <c r="S1" s="144" t="s">
        <v>124</v>
      </c>
      <c r="T1" s="144" t="s">
        <v>125</v>
      </c>
      <c r="U1" s="144" t="s">
        <v>126</v>
      </c>
      <c r="V1" s="144" t="s">
        <v>127</v>
      </c>
      <c r="W1" s="144" t="s">
        <v>128</v>
      </c>
      <c r="X1" s="144" t="s">
        <v>129</v>
      </c>
      <c r="Y1" s="144" t="s">
        <v>130</v>
      </c>
      <c r="Z1" s="144" t="s">
        <v>131</v>
      </c>
      <c r="AA1" s="144" t="s">
        <v>132</v>
      </c>
      <c r="AB1" s="144" t="s">
        <v>133</v>
      </c>
      <c r="AC1" s="144" t="s">
        <v>134</v>
      </c>
      <c r="AD1" s="144" t="s">
        <v>135</v>
      </c>
      <c r="AE1" s="144" t="s">
        <v>136</v>
      </c>
      <c r="AF1" s="144" t="s">
        <v>137</v>
      </c>
      <c r="AG1" s="144" t="s">
        <v>138</v>
      </c>
      <c r="AH1" s="144" t="s">
        <v>139</v>
      </c>
      <c r="AI1" s="144" t="s">
        <v>140</v>
      </c>
      <c r="AJ1" s="144" t="s">
        <v>141</v>
      </c>
      <c r="AK1" s="144" t="s">
        <v>142</v>
      </c>
      <c r="AL1" s="144" t="s">
        <v>143</v>
      </c>
      <c r="AM1" s="144" t="s">
        <v>144</v>
      </c>
      <c r="AN1" s="144" t="s">
        <v>145</v>
      </c>
      <c r="AO1" s="144" t="s">
        <v>146</v>
      </c>
    </row>
    <row r="2" spans="1:41">
      <c r="A2" s="16" t="s">
        <v>148</v>
      </c>
      <c r="B2" s="145"/>
      <c r="C2" s="146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</row>
  </sheetData>
  <dataValidations count="1">
    <dataValidation type="list" allowBlank="1" showInputMessage="1" showErrorMessage="1" sqref="B2">
      <formula1>Bulan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4"/>
  <dimension ref="A1:A12"/>
  <sheetViews>
    <sheetView workbookViewId="0">
      <selection sqref="A1:A12"/>
    </sheetView>
  </sheetViews>
  <sheetFormatPr defaultRowHeight="15.75"/>
  <cols>
    <col min="1" max="1" width="15.28515625" bestFit="1" customWidth="1"/>
  </cols>
  <sheetData>
    <row r="1" spans="1:1">
      <c r="A1" s="78">
        <v>43101</v>
      </c>
    </row>
    <row r="2" spans="1:1">
      <c r="A2" s="78">
        <v>43132</v>
      </c>
    </row>
    <row r="3" spans="1:1">
      <c r="A3" s="78">
        <v>43160</v>
      </c>
    </row>
    <row r="4" spans="1:1">
      <c r="A4" s="78">
        <v>43191</v>
      </c>
    </row>
    <row r="5" spans="1:1">
      <c r="A5" s="78">
        <v>43221</v>
      </c>
    </row>
    <row r="6" spans="1:1">
      <c r="A6" s="78">
        <v>43252</v>
      </c>
    </row>
    <row r="7" spans="1:1">
      <c r="A7" s="78">
        <v>43282</v>
      </c>
    </row>
    <row r="8" spans="1:1">
      <c r="A8" s="78">
        <v>43313</v>
      </c>
    </row>
    <row r="9" spans="1:1">
      <c r="A9" s="78">
        <v>43344</v>
      </c>
    </row>
    <row r="10" spans="1:1">
      <c r="A10" s="78">
        <v>43374</v>
      </c>
    </row>
    <row r="11" spans="1:1">
      <c r="A11" s="78">
        <v>43405</v>
      </c>
    </row>
    <row r="12" spans="1:1">
      <c r="A12" s="78">
        <v>43435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5"/>
  <dimension ref="A1:AZ3"/>
  <sheetViews>
    <sheetView workbookViewId="0">
      <selection sqref="A1:A1048576"/>
    </sheetView>
  </sheetViews>
  <sheetFormatPr defaultRowHeight="13.5"/>
  <cols>
    <col min="1" max="1" width="9.140625" style="81" customWidth="1"/>
    <col min="2" max="2" width="13.140625" style="80" bestFit="1" customWidth="1"/>
    <col min="3" max="3" width="16.42578125" style="82" bestFit="1" customWidth="1"/>
    <col min="4" max="41" width="9.7109375" style="125" customWidth="1"/>
    <col min="42" max="52" width="9.140625" style="84"/>
    <col min="53" max="16384" width="9.140625" style="81"/>
  </cols>
  <sheetData>
    <row r="1" spans="1:52" s="76" customFormat="1" ht="40.5">
      <c r="A1" s="121" t="s">
        <v>147</v>
      </c>
      <c r="B1" s="122" t="s">
        <v>107</v>
      </c>
      <c r="C1" s="123" t="s">
        <v>108</v>
      </c>
      <c r="D1" s="124" t="s">
        <v>109</v>
      </c>
      <c r="E1" s="124" t="s">
        <v>110</v>
      </c>
      <c r="F1" s="124" t="s">
        <v>111</v>
      </c>
      <c r="G1" s="124" t="s">
        <v>112</v>
      </c>
      <c r="H1" s="124" t="s">
        <v>113</v>
      </c>
      <c r="I1" s="124" t="s">
        <v>114</v>
      </c>
      <c r="J1" s="124" t="s">
        <v>115</v>
      </c>
      <c r="K1" s="124" t="s">
        <v>116</v>
      </c>
      <c r="L1" s="124" t="s">
        <v>117</v>
      </c>
      <c r="M1" s="124" t="s">
        <v>118</v>
      </c>
      <c r="N1" s="124" t="s">
        <v>119</v>
      </c>
      <c r="O1" s="124" t="s">
        <v>120</v>
      </c>
      <c r="P1" s="124" t="s">
        <v>121</v>
      </c>
      <c r="Q1" s="124" t="s">
        <v>122</v>
      </c>
      <c r="R1" s="124" t="s">
        <v>123</v>
      </c>
      <c r="S1" s="124" t="s">
        <v>124</v>
      </c>
      <c r="T1" s="124" t="s">
        <v>125</v>
      </c>
      <c r="U1" s="124" t="s">
        <v>126</v>
      </c>
      <c r="V1" s="124" t="s">
        <v>127</v>
      </c>
      <c r="W1" s="124" t="s">
        <v>128</v>
      </c>
      <c r="X1" s="124" t="s">
        <v>129</v>
      </c>
      <c r="Y1" s="124" t="s">
        <v>130</v>
      </c>
      <c r="Z1" s="124" t="s">
        <v>131</v>
      </c>
      <c r="AA1" s="124" t="s">
        <v>132</v>
      </c>
      <c r="AB1" s="124" t="s">
        <v>133</v>
      </c>
      <c r="AC1" s="124" t="s">
        <v>134</v>
      </c>
      <c r="AD1" s="124" t="s">
        <v>135</v>
      </c>
      <c r="AE1" s="124" t="s">
        <v>136</v>
      </c>
      <c r="AF1" s="124" t="s">
        <v>137</v>
      </c>
      <c r="AG1" s="124" t="s">
        <v>138</v>
      </c>
      <c r="AH1" s="124" t="s">
        <v>139</v>
      </c>
      <c r="AI1" s="124" t="s">
        <v>140</v>
      </c>
      <c r="AJ1" s="124" t="s">
        <v>141</v>
      </c>
      <c r="AK1" s="124" t="s">
        <v>142</v>
      </c>
      <c r="AL1" s="124" t="s">
        <v>143</v>
      </c>
      <c r="AM1" s="124" t="s">
        <v>144</v>
      </c>
      <c r="AN1" s="124" t="s">
        <v>145</v>
      </c>
      <c r="AO1" s="124" t="s">
        <v>146</v>
      </c>
      <c r="AP1" s="83"/>
      <c r="AQ1" s="83"/>
      <c r="AR1" s="83"/>
      <c r="AS1" s="83"/>
      <c r="AT1" s="83"/>
      <c r="AU1" s="83"/>
      <c r="AV1" s="83"/>
      <c r="AW1" s="83"/>
      <c r="AX1" s="83"/>
      <c r="AY1" s="83"/>
      <c r="AZ1" s="83"/>
    </row>
    <row r="2" spans="1:52">
      <c r="A2" s="81" t="s">
        <v>148</v>
      </c>
      <c r="B2" s="80">
        <v>43132</v>
      </c>
      <c r="C2" s="82">
        <v>43132</v>
      </c>
      <c r="D2" s="125">
        <v>2</v>
      </c>
      <c r="G2" s="125">
        <v>2</v>
      </c>
      <c r="I2" s="125">
        <v>0.75</v>
      </c>
      <c r="K2" s="125">
        <v>0.01</v>
      </c>
      <c r="M2" s="125">
        <v>1</v>
      </c>
      <c r="N2" s="125">
        <v>3</v>
      </c>
      <c r="P2" s="125">
        <v>4</v>
      </c>
      <c r="R2" s="125">
        <v>5</v>
      </c>
      <c r="V2" s="125">
        <v>4</v>
      </c>
      <c r="Z2" s="125">
        <v>2</v>
      </c>
      <c r="AB2" s="125">
        <v>2</v>
      </c>
      <c r="AC2" s="125">
        <v>3.75</v>
      </c>
      <c r="AD2" s="125">
        <v>2</v>
      </c>
      <c r="AF2" s="125">
        <v>0.75</v>
      </c>
      <c r="AG2" s="125">
        <v>4.5</v>
      </c>
      <c r="AI2" s="125">
        <v>3</v>
      </c>
      <c r="AK2" s="125">
        <v>0.25</v>
      </c>
      <c r="AL2" s="125">
        <v>2</v>
      </c>
      <c r="AM2" s="125">
        <v>3</v>
      </c>
      <c r="AO2" s="125">
        <v>3.5</v>
      </c>
    </row>
    <row r="3" spans="1:52">
      <c r="A3" s="81" t="s">
        <v>148</v>
      </c>
      <c r="B3" s="80">
        <v>43132</v>
      </c>
      <c r="C3" s="82">
        <v>43139</v>
      </c>
      <c r="D3" s="125">
        <v>3</v>
      </c>
      <c r="E3" s="125">
        <v>1</v>
      </c>
      <c r="G3" s="125">
        <v>3</v>
      </c>
      <c r="I3" s="125">
        <v>3</v>
      </c>
      <c r="M3" s="125">
        <v>1</v>
      </c>
      <c r="N3" s="125">
        <v>5</v>
      </c>
      <c r="P3" s="125">
        <v>4</v>
      </c>
      <c r="Q3" s="125">
        <v>1</v>
      </c>
      <c r="R3" s="125">
        <v>10</v>
      </c>
      <c r="V3" s="125">
        <v>0.25</v>
      </c>
      <c r="Y3" s="125">
        <v>2</v>
      </c>
      <c r="Z3" s="125">
        <v>1</v>
      </c>
      <c r="AA3" s="125">
        <v>0.25</v>
      </c>
      <c r="AB3" s="125">
        <v>3</v>
      </c>
      <c r="AC3" s="125">
        <v>6</v>
      </c>
      <c r="AD3" s="125">
        <v>4</v>
      </c>
      <c r="AG3" s="125">
        <v>5</v>
      </c>
      <c r="AI3" s="125">
        <v>6</v>
      </c>
      <c r="AK3" s="125">
        <v>1</v>
      </c>
      <c r="AL3" s="125">
        <v>5</v>
      </c>
      <c r="AM3" s="125">
        <v>6</v>
      </c>
      <c r="AN3" s="125">
        <v>0.25</v>
      </c>
      <c r="AO3" s="125">
        <v>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6"/>
  <dimension ref="A1:BZ6"/>
  <sheetViews>
    <sheetView showGridLines="0" tabSelected="1" topLeftCell="B1" workbookViewId="0">
      <selection activeCell="E21" sqref="E21"/>
    </sheetView>
  </sheetViews>
  <sheetFormatPr defaultRowHeight="13.5"/>
  <cols>
    <col min="1" max="1" width="15.5703125" style="16" hidden="1" customWidth="1"/>
    <col min="2" max="2" width="18.5703125" style="79" customWidth="1"/>
    <col min="3" max="3" width="20.42578125" style="87" customWidth="1"/>
    <col min="4" max="4" width="18.5703125" style="16" bestFit="1" customWidth="1"/>
    <col min="5" max="5" width="28.42578125" style="16" bestFit="1" customWidth="1"/>
    <col min="6" max="6" width="28.28515625" style="16" customWidth="1"/>
    <col min="7" max="7" width="12.42578125" style="16" bestFit="1" customWidth="1"/>
    <col min="8" max="8" width="13.42578125" style="16" bestFit="1" customWidth="1"/>
    <col min="9" max="9" width="11.42578125" style="16" bestFit="1" customWidth="1"/>
    <col min="10" max="10" width="12.42578125" style="16" bestFit="1" customWidth="1"/>
    <col min="11" max="11" width="6.5703125" style="16" bestFit="1" customWidth="1"/>
    <col min="12" max="12" width="12.28515625" style="16" bestFit="1" customWidth="1"/>
    <col min="13" max="13" width="6.42578125" style="16" bestFit="1" customWidth="1"/>
    <col min="14" max="14" width="15.42578125" style="16" bestFit="1" customWidth="1"/>
    <col min="15" max="15" width="16.42578125" style="16" bestFit="1" customWidth="1"/>
    <col min="16" max="16" width="10.140625" style="16" bestFit="1" customWidth="1"/>
    <col min="17" max="17" width="13.5703125" style="16" bestFit="1" customWidth="1"/>
    <col min="18" max="18" width="11.7109375" style="16" bestFit="1" customWidth="1"/>
    <col min="19" max="19" width="5" style="16" bestFit="1" customWidth="1"/>
    <col min="20" max="20" width="10" style="16" bestFit="1" customWidth="1"/>
    <col min="21" max="22" width="11.42578125" style="16" bestFit="1" customWidth="1"/>
    <col min="23" max="23" width="12.42578125" style="16" bestFit="1" customWidth="1"/>
    <col min="24" max="24" width="12.85546875" style="16" bestFit="1" customWidth="1"/>
    <col min="25" max="25" width="14.5703125" style="16" bestFit="1" customWidth="1"/>
    <col min="26" max="26" width="9.140625" style="16" bestFit="1" customWidth="1"/>
    <col min="27" max="27" width="6.5703125" style="16" bestFit="1" customWidth="1"/>
    <col min="28" max="28" width="7.85546875" style="16" bestFit="1" customWidth="1"/>
    <col min="29" max="29" width="6.5703125" style="16" bestFit="1" customWidth="1"/>
    <col min="30" max="30" width="3.7109375" style="16" bestFit="1" customWidth="1"/>
    <col min="31" max="31" width="6.140625" style="16" bestFit="1" customWidth="1"/>
    <col min="32" max="32" width="9.85546875" style="16" bestFit="1" customWidth="1"/>
    <col min="33" max="33" width="8.7109375" style="16" bestFit="1" customWidth="1"/>
    <col min="34" max="34" width="9.140625" style="16" bestFit="1" customWidth="1"/>
    <col min="35" max="35" width="12.28515625" style="16" bestFit="1" customWidth="1"/>
    <col min="36" max="36" width="6.85546875" style="16" bestFit="1" customWidth="1"/>
    <col min="37" max="37" width="6.140625" style="16" bestFit="1" customWidth="1"/>
    <col min="38" max="38" width="11.42578125" style="16" bestFit="1" customWidth="1"/>
    <col min="39" max="39" width="12.42578125" style="16" bestFit="1" customWidth="1"/>
    <col min="40" max="40" width="6.7109375" style="16" bestFit="1" customWidth="1"/>
    <col min="41" max="41" width="5.85546875" style="16" bestFit="1" customWidth="1"/>
    <col min="42" max="42" width="5.5703125" style="16" bestFit="1" customWidth="1"/>
    <col min="43" max="44" width="6.28515625" style="16" bestFit="1" customWidth="1"/>
    <col min="45" max="77" width="9.140625" style="16"/>
    <col min="78" max="78" width="16.42578125" style="16" bestFit="1" customWidth="1"/>
    <col min="79" max="16384" width="9.140625" style="16"/>
  </cols>
  <sheetData>
    <row r="1" spans="1:78" s="81" customFormat="1" ht="16.5" customHeight="1">
      <c r="B1" s="173" t="s">
        <v>152</v>
      </c>
      <c r="C1" s="174"/>
      <c r="D1" s="174"/>
      <c r="E1" s="174"/>
      <c r="F1" s="174"/>
      <c r="G1" s="89" t="str">
        <f>IF(G5="","",G5)</f>
        <v>Bawang Daun</v>
      </c>
      <c r="H1" s="89" t="str">
        <f t="shared" ref="H1:AZ1" si="0">IF(H5="","",H5)</f>
        <v>Bawang Merah</v>
      </c>
      <c r="I1" s="89" t="str">
        <f t="shared" si="0"/>
        <v>Bayam Hijau</v>
      </c>
      <c r="J1" s="89" t="str">
        <f t="shared" si="0"/>
        <v>Bayam Merah</v>
      </c>
      <c r="K1" s="89" t="str">
        <f t="shared" si="0"/>
        <v>Brokoli</v>
      </c>
      <c r="L1" s="89" t="str">
        <f t="shared" si="0"/>
        <v>Bumbu Dapur</v>
      </c>
      <c r="M1" s="89" t="str">
        <f t="shared" si="0"/>
        <v>Buncis</v>
      </c>
      <c r="N1" s="89" t="str">
        <f t="shared" si="0"/>
        <v>Cabe Hijau Besar</v>
      </c>
      <c r="O1" s="89" t="str">
        <f t="shared" si="0"/>
        <v>Cabe Merah Besar</v>
      </c>
      <c r="P1" s="89" t="str">
        <f t="shared" si="0"/>
        <v>Daun Jeruk</v>
      </c>
      <c r="Q1" s="89" t="str">
        <f t="shared" si="0"/>
        <v>Daun Singkong</v>
      </c>
      <c r="R1" s="89" t="str">
        <f t="shared" si="0"/>
        <v>Jagung Semi</v>
      </c>
      <c r="S1" s="89" t="str">
        <f t="shared" si="0"/>
        <v>Jahe</v>
      </c>
      <c r="T1" s="89" t="str">
        <f t="shared" si="0"/>
        <v>Jahe Muda</v>
      </c>
      <c r="U1" s="89" t="str">
        <f t="shared" si="0"/>
        <v>Jeruk Lemon</v>
      </c>
      <c r="V1" s="89" t="str">
        <f t="shared" si="0"/>
        <v>Kacang Bulu</v>
      </c>
      <c r="W1" s="89" t="str">
        <f t="shared" si="0"/>
        <v>Kacang Endul</v>
      </c>
      <c r="X1" s="89" t="str">
        <f t="shared" si="0"/>
        <v>Kacang Merah</v>
      </c>
      <c r="Y1" s="89" t="str">
        <f t="shared" si="0"/>
        <v>Kacang Panjang</v>
      </c>
      <c r="Z1" s="89" t="str">
        <f t="shared" si="0"/>
        <v>Kangkung</v>
      </c>
      <c r="AA1" s="89" t="str">
        <f t="shared" si="0"/>
        <v>Kecipir</v>
      </c>
      <c r="AB1" s="89" t="str">
        <f t="shared" si="0"/>
        <v>Kentang</v>
      </c>
      <c r="AC1" s="89" t="str">
        <f t="shared" si="0"/>
        <v>Kiciwis</v>
      </c>
      <c r="AD1" s="89" t="str">
        <f t="shared" si="0"/>
        <v>Kol</v>
      </c>
      <c r="AE1" s="89" t="str">
        <f t="shared" si="0"/>
        <v>Kunyit</v>
      </c>
      <c r="AF1" s="89" t="str">
        <f t="shared" si="0"/>
        <v>Labu Siam</v>
      </c>
      <c r="AG1" s="89" t="str">
        <f t="shared" si="0"/>
        <v>Lengkuas</v>
      </c>
      <c r="AH1" s="89" t="str">
        <f t="shared" si="0"/>
        <v>Mentimun</v>
      </c>
      <c r="AI1" s="89" t="str">
        <f t="shared" si="0"/>
        <v>Nangka Muda</v>
      </c>
      <c r="AJ1" s="89" t="str">
        <f t="shared" si="0"/>
        <v>Pakcoy</v>
      </c>
      <c r="AK1" s="89" t="str">
        <f t="shared" si="0"/>
        <v>Petsai</v>
      </c>
      <c r="AL1" s="89" t="str">
        <f t="shared" si="0"/>
        <v>Selada Hijau</v>
      </c>
      <c r="AM1" s="89" t="str">
        <f t="shared" si="0"/>
        <v>Selada Merah</v>
      </c>
      <c r="AN1" s="89" t="str">
        <f t="shared" si="0"/>
        <v>Seledri</v>
      </c>
      <c r="AO1" s="89" t="str">
        <f t="shared" si="0"/>
        <v>Sereh</v>
      </c>
      <c r="AP1" s="89" t="str">
        <f t="shared" si="0"/>
        <v>Sosin</v>
      </c>
      <c r="AQ1" s="89" t="str">
        <f t="shared" si="0"/>
        <v>Tomat</v>
      </c>
      <c r="AR1" s="89" t="str">
        <f t="shared" si="0"/>
        <v>Wortel</v>
      </c>
      <c r="AS1" s="81" t="str">
        <f t="shared" si="0"/>
        <v/>
      </c>
      <c r="AT1" s="81" t="str">
        <f t="shared" si="0"/>
        <v/>
      </c>
      <c r="AU1" s="81" t="str">
        <f t="shared" si="0"/>
        <v/>
      </c>
      <c r="AV1" s="81" t="str">
        <f t="shared" si="0"/>
        <v/>
      </c>
      <c r="AW1" s="81" t="str">
        <f t="shared" si="0"/>
        <v/>
      </c>
      <c r="AX1" s="81" t="str">
        <f t="shared" si="0"/>
        <v/>
      </c>
      <c r="AY1" s="81" t="str">
        <f t="shared" si="0"/>
        <v/>
      </c>
      <c r="AZ1" s="81" t="str">
        <f t="shared" si="0"/>
        <v/>
      </c>
      <c r="BZ1" s="82" t="str">
        <f>IF(C6="","",C6)</f>
        <v/>
      </c>
    </row>
    <row r="2" spans="1:78" s="81" customFormat="1" ht="16.5" customHeight="1">
      <c r="B2" s="171" t="str">
        <f>IF(C6="","Jumlah Stok","Jumlah Stok Tanggal "&amp;TEXT(BZ1, "dd mmmm yyyy"))</f>
        <v>Jumlah Stok</v>
      </c>
      <c r="C2" s="172"/>
      <c r="D2" s="172"/>
      <c r="E2" s="172"/>
      <c r="F2" s="172"/>
      <c r="G2" s="90" t="str">
        <f>IFERROR(IF(G1="","",INDEX('Data Stok'!$D$1:$AO$3,MATCH(InputPemesanan!$C$6,'Data Stok'!$C:$C),MATCH(InputPemesanan!G1,'Data Stok'!$D$1:$AO$1,0))),"")</f>
        <v/>
      </c>
      <c r="H2" s="90" t="str">
        <f>IFERROR(IF(H1="","",INDEX('Data Stok'!$D$1:$AO$3,MATCH(InputPemesanan!$C$6,'Data Stok'!$C:$C),MATCH(InputPemesanan!H1,'Data Stok'!$D$1:$AO$1,0))),"")</f>
        <v/>
      </c>
      <c r="I2" s="90" t="str">
        <f>IFERROR(IF(I1="","",INDEX('Data Stok'!$D$1:$AO$3,MATCH(InputPemesanan!$C$6,'Data Stok'!$C:$C),MATCH(InputPemesanan!I1,'Data Stok'!$D$1:$AO$1,0))),"")</f>
        <v/>
      </c>
      <c r="J2" s="90" t="str">
        <f>IFERROR(IF(J1="","",INDEX('Data Stok'!$D$1:$AO$3,MATCH(InputPemesanan!$C$6,'Data Stok'!$C:$C),MATCH(InputPemesanan!J1,'Data Stok'!$D$1:$AO$1,0))),"")</f>
        <v/>
      </c>
      <c r="K2" s="90" t="str">
        <f>IFERROR(IF(K1="","",INDEX('Data Stok'!$D$1:$AO$3,MATCH(InputPemesanan!$C$6,'Data Stok'!$C:$C),MATCH(InputPemesanan!K1,'Data Stok'!$D$1:$AO$1,0))),"")</f>
        <v/>
      </c>
      <c r="L2" s="90" t="str">
        <f>IFERROR(IF(L1="","",INDEX('Data Stok'!$D$1:$AO$3,MATCH(InputPemesanan!$C$6,'Data Stok'!$C:$C),MATCH(InputPemesanan!L1,'Data Stok'!$D$1:$AO$1,0))),"")</f>
        <v/>
      </c>
      <c r="M2" s="90" t="str">
        <f>IFERROR(IF(M1="","",INDEX('Data Stok'!$D$1:$AO$3,MATCH(InputPemesanan!$C$6,'Data Stok'!$C:$C),MATCH(InputPemesanan!M1,'Data Stok'!$D$1:$AO$1,0))),"")</f>
        <v/>
      </c>
      <c r="N2" s="90" t="str">
        <f>IFERROR(IF(N1="","",INDEX('Data Stok'!$D$1:$AO$3,MATCH(InputPemesanan!$C$6,'Data Stok'!$C:$C),MATCH(InputPemesanan!N1,'Data Stok'!$D$1:$AO$1,0))),"")</f>
        <v/>
      </c>
      <c r="O2" s="90" t="str">
        <f>IFERROR(IF(O1="","",INDEX('Data Stok'!$D$1:$AO$3,MATCH(InputPemesanan!$C$6,'Data Stok'!$C:$C),MATCH(InputPemesanan!O1,'Data Stok'!$D$1:$AO$1,0))),"")</f>
        <v/>
      </c>
      <c r="P2" s="90" t="str">
        <f>IFERROR(IF(P1="","",INDEX('Data Stok'!$D$1:$AO$3,MATCH(InputPemesanan!$C$6,'Data Stok'!$C:$C),MATCH(InputPemesanan!P1,'Data Stok'!$D$1:$AO$1,0))),"")</f>
        <v/>
      </c>
      <c r="Q2" s="90" t="str">
        <f>IFERROR(IF(Q1="","",INDEX('Data Stok'!$D$1:$AO$3,MATCH(InputPemesanan!$C$6,'Data Stok'!$C:$C),MATCH(InputPemesanan!Q1,'Data Stok'!$D$1:$AO$1,0))),"")</f>
        <v/>
      </c>
      <c r="R2" s="90" t="str">
        <f>IFERROR(IF(R1="","",INDEX('Data Stok'!$D$1:$AO$3,MATCH(InputPemesanan!$C$6,'Data Stok'!$C:$C),MATCH(InputPemesanan!R1,'Data Stok'!$D$1:$AO$1,0))),"")</f>
        <v/>
      </c>
      <c r="S2" s="90" t="str">
        <f>IFERROR(IF(S1="","",INDEX('Data Stok'!$D$1:$AO$3,MATCH(InputPemesanan!$C$6,'Data Stok'!$C:$C),MATCH(InputPemesanan!S1,'Data Stok'!$D$1:$AO$1,0))),"")</f>
        <v/>
      </c>
      <c r="T2" s="90" t="str">
        <f>IFERROR(IF(T1="","",INDEX('Data Stok'!$D$1:$AO$3,MATCH(InputPemesanan!$C$6,'Data Stok'!$C:$C),MATCH(InputPemesanan!T1,'Data Stok'!$D$1:$AO$1,0))),"")</f>
        <v/>
      </c>
      <c r="U2" s="90" t="str">
        <f>IFERROR(IF(U1="","",INDEX('Data Stok'!$D$1:$AO$3,MATCH(InputPemesanan!$C$6,'Data Stok'!$C:$C),MATCH(InputPemesanan!U1,'Data Stok'!$D$1:$AO$1,0))),"")</f>
        <v/>
      </c>
      <c r="V2" s="90" t="str">
        <f>IFERROR(IF(V1="","",INDEX('Data Stok'!$D$1:$AO$3,MATCH(InputPemesanan!$C$6,'Data Stok'!$C:$C),MATCH(InputPemesanan!V1,'Data Stok'!$D$1:$AO$1,0))),"")</f>
        <v/>
      </c>
      <c r="W2" s="90" t="str">
        <f>IFERROR(IF(W1="","",INDEX('Data Stok'!$D$1:$AO$3,MATCH(InputPemesanan!$C$6,'Data Stok'!$C:$C),MATCH(InputPemesanan!W1,'Data Stok'!$D$1:$AO$1,0))),"")</f>
        <v/>
      </c>
      <c r="X2" s="90" t="str">
        <f>IFERROR(IF(X1="","",INDEX('Data Stok'!$D$1:$AO$3,MATCH(InputPemesanan!$C$6,'Data Stok'!$C:$C),MATCH(InputPemesanan!X1,'Data Stok'!$D$1:$AO$1,0))),"")</f>
        <v/>
      </c>
      <c r="Y2" s="90" t="str">
        <f>IFERROR(IF(Y1="","",INDEX('Data Stok'!$D$1:$AO$3,MATCH(InputPemesanan!$C$6,'Data Stok'!$C:$C),MATCH(InputPemesanan!Y1,'Data Stok'!$D$1:$AO$1,0))),"")</f>
        <v/>
      </c>
      <c r="Z2" s="90" t="str">
        <f>IFERROR(IF(Z1="","",INDEX('Data Stok'!$D$1:$AO$3,MATCH(InputPemesanan!$C$6,'Data Stok'!$C:$C),MATCH(InputPemesanan!Z1,'Data Stok'!$D$1:$AO$1,0))),"")</f>
        <v/>
      </c>
      <c r="AA2" s="90" t="str">
        <f>IFERROR(IF(AA1="","",INDEX('Data Stok'!$D$1:$AO$3,MATCH(InputPemesanan!$C$6,'Data Stok'!$C:$C),MATCH(InputPemesanan!AA1,'Data Stok'!$D$1:$AO$1,0))),"")</f>
        <v/>
      </c>
      <c r="AB2" s="90" t="str">
        <f>IFERROR(IF(AB1="","",INDEX('Data Stok'!$D$1:$AO$3,MATCH(InputPemesanan!$C$6,'Data Stok'!$C:$C),MATCH(InputPemesanan!AB1,'Data Stok'!$D$1:$AO$1,0))),"")</f>
        <v/>
      </c>
      <c r="AC2" s="90" t="str">
        <f>IFERROR(IF(AC1="","",INDEX('Data Stok'!$D$1:$AO$3,MATCH(InputPemesanan!$C$6,'Data Stok'!$C:$C),MATCH(InputPemesanan!AC1,'Data Stok'!$D$1:$AO$1,0))),"")</f>
        <v/>
      </c>
      <c r="AD2" s="90" t="str">
        <f>IFERROR(IF(AD1="","",INDEX('Data Stok'!$D$1:$AO$3,MATCH(InputPemesanan!$C$6,'Data Stok'!$C:$C),MATCH(InputPemesanan!AD1,'Data Stok'!$D$1:$AO$1,0))),"")</f>
        <v/>
      </c>
      <c r="AE2" s="90" t="str">
        <f>IFERROR(IF(AE1="","",INDEX('Data Stok'!$D$1:$AO$3,MATCH(InputPemesanan!$C$6,'Data Stok'!$C:$C),MATCH(InputPemesanan!AE1,'Data Stok'!$D$1:$AO$1,0))),"")</f>
        <v/>
      </c>
      <c r="AF2" s="90" t="str">
        <f>IFERROR(IF(AF1="","",INDEX('Data Stok'!$D$1:$AO$3,MATCH(InputPemesanan!$C$6,'Data Stok'!$C:$C),MATCH(InputPemesanan!AF1,'Data Stok'!$D$1:$AO$1,0))),"")</f>
        <v/>
      </c>
      <c r="AG2" s="90" t="str">
        <f>IFERROR(IF(AG1="","",INDEX('Data Stok'!$D$1:$AO$3,MATCH(InputPemesanan!$C$6,'Data Stok'!$C:$C),MATCH(InputPemesanan!AG1,'Data Stok'!$D$1:$AO$1,0))),"")</f>
        <v/>
      </c>
      <c r="AH2" s="90" t="str">
        <f>IFERROR(IF(AH1="","",INDEX('Data Stok'!$D$1:$AO$3,MATCH(InputPemesanan!$C$6,'Data Stok'!$C:$C),MATCH(InputPemesanan!AH1,'Data Stok'!$D$1:$AO$1,0))),"")</f>
        <v/>
      </c>
      <c r="AI2" s="90" t="str">
        <f>IFERROR(IF(AI1="","",INDEX('Data Stok'!$D$1:$AO$3,MATCH(InputPemesanan!$C$6,'Data Stok'!$C:$C),MATCH(InputPemesanan!AI1,'Data Stok'!$D$1:$AO$1,0))),"")</f>
        <v/>
      </c>
      <c r="AJ2" s="90" t="str">
        <f>IFERROR(IF(AJ1="","",INDEX('Data Stok'!$D$1:$AO$3,MATCH(InputPemesanan!$C$6,'Data Stok'!$C:$C),MATCH(InputPemesanan!AJ1,'Data Stok'!$D$1:$AO$1,0))),"")</f>
        <v/>
      </c>
      <c r="AK2" s="90" t="str">
        <f>IFERROR(IF(AK1="","",INDEX('Data Stok'!$D$1:$AO$3,MATCH(InputPemesanan!$C$6,'Data Stok'!$C:$C),MATCH(InputPemesanan!AK1,'Data Stok'!$D$1:$AO$1,0))),"")</f>
        <v/>
      </c>
      <c r="AL2" s="90" t="str">
        <f>IFERROR(IF(AL1="","",INDEX('Data Stok'!$D$1:$AO$3,MATCH(InputPemesanan!$C$6,'Data Stok'!$C:$C),MATCH(InputPemesanan!AL1,'Data Stok'!$D$1:$AO$1,0))),"")</f>
        <v/>
      </c>
      <c r="AM2" s="90" t="str">
        <f>IFERROR(IF(AM1="","",INDEX('Data Stok'!$D$1:$AO$3,MATCH(InputPemesanan!$C$6,'Data Stok'!$C:$C),MATCH(InputPemesanan!AM1,'Data Stok'!$D$1:$AO$1,0))),"")</f>
        <v/>
      </c>
      <c r="AN2" s="90" t="str">
        <f>IFERROR(IF(AN1="","",INDEX('Data Stok'!$D$1:$AO$3,MATCH(InputPemesanan!$C$6,'Data Stok'!$C:$C),MATCH(InputPemesanan!AN1,'Data Stok'!$D$1:$AO$1,0))),"")</f>
        <v/>
      </c>
      <c r="AO2" s="90" t="str">
        <f>IFERROR(IF(AO1="","",INDEX('Data Stok'!$D$1:$AO$3,MATCH(InputPemesanan!$C$6,'Data Stok'!$C:$C),MATCH(InputPemesanan!AO1,'Data Stok'!$D$1:$AO$1,0))),"")</f>
        <v/>
      </c>
      <c r="AP2" s="90" t="str">
        <f>IFERROR(IF(AP1="","",INDEX('Data Stok'!$D$1:$AO$3,MATCH(InputPemesanan!$C$6,'Data Stok'!$C:$C),MATCH(InputPemesanan!AP1,'Data Stok'!$D$1:$AO$1,0))),"")</f>
        <v/>
      </c>
      <c r="AQ2" s="90" t="str">
        <f>IFERROR(IF(AQ1="","",INDEX('Data Stok'!$D$1:$AO$3,MATCH(InputPemesanan!$C$6,'Data Stok'!$C:$C),MATCH(InputPemesanan!AQ1,'Data Stok'!$D$1:$AO$1,0))),"")</f>
        <v/>
      </c>
      <c r="AR2" s="90" t="str">
        <f>IFERROR(IF(AR1="","",INDEX('Data Stok'!$D$1:$AO$3,MATCH(InputPemesanan!$C$6,'Data Stok'!$C:$C),MATCH(InputPemesanan!AR1,'Data Stok'!$D$1:$AO$1,0))),"")</f>
        <v/>
      </c>
      <c r="AS2" s="81" t="str">
        <f>IFERROR(IF(AS1="","",INDEX('Data Stok'!$D$1:$AO$3,MATCH(InputPemesanan!$C$6,'Data Stok'!$C:$C),MATCH(InputPemesanan!AS1,'Data Stok'!$D$1:$AO$1,0))),"")</f>
        <v/>
      </c>
      <c r="AT2" s="81" t="str">
        <f>IFERROR(IF(AT1="","",INDEX('Data Stok'!$D$1:$AO$3,MATCH(InputPemesanan!$C$6,'Data Stok'!$C:$C),MATCH(InputPemesanan!AT1,'Data Stok'!$D$1:$AO$1,0))),"")</f>
        <v/>
      </c>
      <c r="AU2" s="81" t="str">
        <f>IFERROR(IF(AU1="","",INDEX('Data Stok'!$D$1:$AO$3,MATCH(InputPemesanan!$C$6,'Data Stok'!$C:$C),MATCH(InputPemesanan!AU1,'Data Stok'!$D$1:$AO$1,0))),"")</f>
        <v/>
      </c>
      <c r="AV2" s="81" t="str">
        <f>IFERROR(IF(AV1="","",INDEX('Data Stok'!$D$1:$AO$3,MATCH(InputPemesanan!$C$6,'Data Stok'!$C:$C),MATCH(InputPemesanan!AV1,'Data Stok'!$D$1:$AO$1,0))),"")</f>
        <v/>
      </c>
      <c r="AW2" s="81" t="str">
        <f>IFERROR(IF(AW1="","",INDEX('Data Stok'!$D$1:$AO$3,MATCH(InputPemesanan!$C$6,'Data Stok'!$C:$C),MATCH(InputPemesanan!AW1,'Data Stok'!$D$1:$AO$1,0))),"")</f>
        <v/>
      </c>
      <c r="AX2" s="81" t="str">
        <f>IFERROR(IF(AX1="","",INDEX('Data Stok'!$D$1:$AO$3,MATCH(InputPemesanan!$C$6,'Data Stok'!$C:$C),MATCH(InputPemesanan!AX1,'Data Stok'!$D$1:$AO$1,0))),"")</f>
        <v/>
      </c>
      <c r="AY2" s="81" t="str">
        <f>IFERROR(IF(AY1="","",INDEX('Data Stok'!$D$1:$AO$3,MATCH(InputPemesanan!$C$6,'Data Stok'!$C:$C),MATCH(InputPemesanan!AY1,'Data Stok'!$D$1:$AO$1,0))),"")</f>
        <v/>
      </c>
      <c r="AZ2" s="81" t="str">
        <f>IFERROR(IF(AZ1="","",INDEX('Data Stok'!$D$1:$AO$3,MATCH(InputPemesanan!$C$6,'Data Stok'!$C:$C),MATCH(InputPemesanan!AZ1,'Data Stok'!$D$1:$AO$1,0))),"")</f>
        <v/>
      </c>
    </row>
    <row r="3" spans="1:78" s="81" customFormat="1" ht="14.25">
      <c r="B3" s="175" t="str">
        <f>IF(C6="","Sisa Stok","Sisa Stok Tanggal "&amp;TEXT(BZ1, "dd mmmm yyyy"))</f>
        <v>Sisa Stok</v>
      </c>
      <c r="C3" s="176"/>
      <c r="D3" s="176"/>
      <c r="E3" s="176"/>
      <c r="F3" s="176"/>
      <c r="G3" s="91" t="str">
        <f>IFERROR(IF($C$6="","",G2-G6-SUMIFS(DataPemesanan!G:G,DataPemesanan!$C:$C,InputPemesanan!$C$6)),"")</f>
        <v/>
      </c>
      <c r="H3" s="91" t="str">
        <f>IFERROR(IF($C$6="","",H2-H6-SUMIFS(DataPemesanan!H:H,DataPemesanan!$C:$C,InputPemesanan!$C$6)),"")</f>
        <v/>
      </c>
      <c r="I3" s="91" t="str">
        <f>IFERROR(IF($C$6="","",I2-I6-SUMIFS(DataPemesanan!I:I,DataPemesanan!$C:$C,InputPemesanan!$C$6)),"")</f>
        <v/>
      </c>
      <c r="J3" s="91" t="str">
        <f>IFERROR(IF($C$6="","",J2-J6-SUMIFS(DataPemesanan!J:J,DataPemesanan!$C:$C,InputPemesanan!$C$6)),"")</f>
        <v/>
      </c>
      <c r="K3" s="91" t="str">
        <f>IFERROR(IF($C$6="","",K2-K6-SUMIFS(DataPemesanan!K:K,DataPemesanan!$C:$C,InputPemesanan!$C$6)),"")</f>
        <v/>
      </c>
      <c r="L3" s="91" t="str">
        <f>IFERROR(IF($C$6="","",L2-L6-SUMIFS(DataPemesanan!L:L,DataPemesanan!$C:$C,InputPemesanan!$C$6)),"")</f>
        <v/>
      </c>
      <c r="M3" s="91" t="str">
        <f>IFERROR(IF($C$6="","",M2-M6-SUMIFS(DataPemesanan!M:M,DataPemesanan!$C:$C,InputPemesanan!$C$6)),"")</f>
        <v/>
      </c>
      <c r="N3" s="91" t="str">
        <f>IFERROR(IF($C$6="","",N2-N6-SUMIFS(DataPemesanan!N:N,DataPemesanan!$C:$C,InputPemesanan!$C$6)),"")</f>
        <v/>
      </c>
      <c r="O3" s="91" t="str">
        <f>IFERROR(IF($C$6="","",O2-O6-SUMIFS(DataPemesanan!O:O,DataPemesanan!$C:$C,InputPemesanan!$C$6)),"")</f>
        <v/>
      </c>
      <c r="P3" s="91" t="str">
        <f>IFERROR(IF($C$6="","",P2-P6-SUMIFS(DataPemesanan!P:P,DataPemesanan!$C:$C,InputPemesanan!$C$6)),"")</f>
        <v/>
      </c>
      <c r="Q3" s="91" t="str">
        <f>IFERROR(IF($C$6="","",Q2-Q6-SUMIFS(DataPemesanan!Q:Q,DataPemesanan!$C:$C,InputPemesanan!$C$6)),"")</f>
        <v/>
      </c>
      <c r="R3" s="91" t="str">
        <f>IFERROR(IF($C$6="","",R2-R6-SUMIFS(DataPemesanan!R:R,DataPemesanan!$C:$C,InputPemesanan!$C$6)),"")</f>
        <v/>
      </c>
      <c r="S3" s="91" t="str">
        <f>IFERROR(IF($C$6="","",S2-S6-SUMIFS(DataPemesanan!S:S,DataPemesanan!$C:$C,InputPemesanan!$C$6)),"")</f>
        <v/>
      </c>
      <c r="T3" s="91" t="str">
        <f>IFERROR(IF($C$6="","",T2-T6-SUMIFS(DataPemesanan!T:T,DataPemesanan!$C:$C,InputPemesanan!$C$6)),"")</f>
        <v/>
      </c>
      <c r="U3" s="91" t="str">
        <f>IFERROR(IF($C$6="","",U2-U6-SUMIFS(DataPemesanan!U:U,DataPemesanan!$C:$C,InputPemesanan!$C$6)),"")</f>
        <v/>
      </c>
      <c r="V3" s="91" t="str">
        <f>IFERROR(IF($C$6="","",V2-V6-SUMIFS(DataPemesanan!V:V,DataPemesanan!$C:$C,InputPemesanan!$C$6)),"")</f>
        <v/>
      </c>
      <c r="W3" s="91" t="str">
        <f>IFERROR(IF($C$6="","",W2-W6-SUMIFS(DataPemesanan!W:W,DataPemesanan!$C:$C,InputPemesanan!$C$6)),"")</f>
        <v/>
      </c>
      <c r="X3" s="91" t="str">
        <f>IFERROR(IF($C$6="","",X2-X6-SUMIFS(DataPemesanan!X:X,DataPemesanan!$C:$C,InputPemesanan!$C$6)),"")</f>
        <v/>
      </c>
      <c r="Y3" s="91" t="str">
        <f>IFERROR(IF($C$6="","",Y2-Y6-SUMIFS(DataPemesanan!Y:Y,DataPemesanan!$C:$C,InputPemesanan!$C$6)),"")</f>
        <v/>
      </c>
      <c r="Z3" s="91" t="str">
        <f>IFERROR(IF($C$6="","",Z2-Z6-SUMIFS(DataPemesanan!Z:Z,DataPemesanan!$C:$C,InputPemesanan!$C$6)),"")</f>
        <v/>
      </c>
      <c r="AA3" s="91" t="str">
        <f>IFERROR(IF($C$6="","",AA2-AA6-SUMIFS(DataPemesanan!AA:AA,DataPemesanan!$C:$C,InputPemesanan!$C$6)),"")</f>
        <v/>
      </c>
      <c r="AB3" s="91" t="str">
        <f>IFERROR(IF($C$6="","",AB2-AB6-SUMIFS(DataPemesanan!AB:AB,DataPemesanan!$C:$C,InputPemesanan!$C$6)),"")</f>
        <v/>
      </c>
      <c r="AC3" s="91" t="str">
        <f>IFERROR(IF($C$6="","",AC2-AC6-SUMIFS(DataPemesanan!AC:AC,DataPemesanan!$C:$C,InputPemesanan!$C$6)),"")</f>
        <v/>
      </c>
      <c r="AD3" s="91" t="str">
        <f>IFERROR(IF($C$6="","",AD2-AD6-SUMIFS(DataPemesanan!AD:AD,DataPemesanan!$C:$C,InputPemesanan!$C$6)),"")</f>
        <v/>
      </c>
      <c r="AE3" s="91" t="str">
        <f>IFERROR(IF($C$6="","",AE2-AE6-SUMIFS(DataPemesanan!AE:AE,DataPemesanan!$C:$C,InputPemesanan!$C$6)),"")</f>
        <v/>
      </c>
      <c r="AF3" s="91" t="str">
        <f>IFERROR(IF($C$6="","",AF2-AF6-SUMIFS(DataPemesanan!AF:AF,DataPemesanan!$C:$C,InputPemesanan!$C$6)),"")</f>
        <v/>
      </c>
      <c r="AG3" s="91" t="str">
        <f>IFERROR(IF($C$6="","",AG2-AG6-SUMIFS(DataPemesanan!AG:AG,DataPemesanan!$C:$C,InputPemesanan!$C$6)),"")</f>
        <v/>
      </c>
      <c r="AH3" s="91" t="str">
        <f>IFERROR(IF($C$6="","",AH2-AH6-SUMIFS(DataPemesanan!AH:AH,DataPemesanan!$C:$C,InputPemesanan!$C$6)),"")</f>
        <v/>
      </c>
      <c r="AI3" s="91" t="str">
        <f>IFERROR(IF($C$6="","",AI2-AI6-SUMIFS(DataPemesanan!AI:AI,DataPemesanan!$C:$C,InputPemesanan!$C$6)),"")</f>
        <v/>
      </c>
      <c r="AJ3" s="91" t="str">
        <f>IFERROR(IF($C$6="","",AJ2-AJ6-SUMIFS(DataPemesanan!AJ:AJ,DataPemesanan!$C:$C,InputPemesanan!$C$6)),"")</f>
        <v/>
      </c>
      <c r="AK3" s="91" t="str">
        <f>IFERROR(IF($C$6="","",AK2-AK6-SUMIFS(DataPemesanan!AK:AK,DataPemesanan!$C:$C,InputPemesanan!$C$6)),"")</f>
        <v/>
      </c>
      <c r="AL3" s="91" t="str">
        <f>IFERROR(IF($C$6="","",AL2-AL6-SUMIFS(DataPemesanan!AL:AL,DataPemesanan!$C:$C,InputPemesanan!$C$6)),"")</f>
        <v/>
      </c>
      <c r="AM3" s="91" t="str">
        <f>IFERROR(IF($C$6="","",AM2-AM6-SUMIFS(DataPemesanan!AM:AM,DataPemesanan!$C:$C,InputPemesanan!$C$6)),"")</f>
        <v/>
      </c>
      <c r="AN3" s="91" t="str">
        <f>IFERROR(IF($C$6="","",AN2-AN6-SUMIFS(DataPemesanan!AN:AN,DataPemesanan!$C:$C,InputPemesanan!$C$6)),"")</f>
        <v/>
      </c>
      <c r="AO3" s="91" t="str">
        <f>IFERROR(IF($C$6="","",AO2-AO6-SUMIFS(DataPemesanan!AO:AO,DataPemesanan!$C:$C,InputPemesanan!$C$6)),"")</f>
        <v/>
      </c>
      <c r="AP3" s="91" t="str">
        <f>IFERROR(IF($C$6="","",AP2-AP6-SUMIFS(DataPemesanan!AP:AP,DataPemesanan!$C:$C,InputPemesanan!$C$6)),"")</f>
        <v/>
      </c>
      <c r="AQ3" s="91" t="str">
        <f>IFERROR(IF($C$6="","",AQ2-AQ6-SUMIFS(DataPemesanan!AQ:AQ,DataPemesanan!$C:$C,InputPemesanan!$C$6)),"")</f>
        <v/>
      </c>
      <c r="AR3" s="91" t="str">
        <f>IFERROR(IF($C$6="","",AR2-AR6-SUMIFS(DataPemesanan!AR:AR,DataPemesanan!$C:$C,InputPemesanan!$C$6)),"")</f>
        <v/>
      </c>
      <c r="AS3" s="81" t="str">
        <f>IFERROR(IF($C$6="","",AS2-AS6-SUMIFS(DataPemesanan!AS:AS,DataPemesanan!$C:$C,InputPemesanan!$C$6)),"")</f>
        <v/>
      </c>
      <c r="AT3" s="81" t="str">
        <f>IFERROR(IF($C$6="","",AT2-AT6-SUMIFS(DataPemesanan!AT:AT,DataPemesanan!$C:$C,InputPemesanan!$C$6)),"")</f>
        <v/>
      </c>
      <c r="AU3" s="81" t="str">
        <f>IFERROR(IF($C$6="","",AU2-AU6-SUMIFS(DataPemesanan!AU:AU,DataPemesanan!$C:$C,InputPemesanan!$C$6)),"")</f>
        <v/>
      </c>
      <c r="AV3" s="81" t="str">
        <f>IFERROR(IF($C$6="","",AV2-AV6-SUMIFS(DataPemesanan!AV:AV,DataPemesanan!$C:$C,InputPemesanan!$C$6)),"")</f>
        <v/>
      </c>
      <c r="AW3" s="81" t="str">
        <f>IFERROR(IF($C$6="","",AW2-AW6-SUMIFS(DataPemesanan!AW:AW,DataPemesanan!$C:$C,InputPemesanan!$C$6)),"")</f>
        <v/>
      </c>
      <c r="AX3" s="81" t="str">
        <f>IFERROR(IF($C$6="","",AX2-AX6-SUMIFS(DataPemesanan!AX:AX,DataPemesanan!$C:$C,InputPemesanan!$C$6)),"")</f>
        <v/>
      </c>
      <c r="AY3" s="81" t="str">
        <f>IFERROR(IF($C$6="","",AY2-AY6-SUMIFS(DataPemesanan!AY:AY,DataPemesanan!$C:$C,InputPemesanan!$C$6)),"")</f>
        <v/>
      </c>
      <c r="AZ3" s="81" t="str">
        <f>IFERROR(IF($C$6="","",AZ2-AZ6-SUMIFS(DataPemesanan!AZ:AZ,DataPemesanan!$C:$C,InputPemesanan!$C$6)),"")</f>
        <v/>
      </c>
    </row>
    <row r="4" spans="1:78" s="118" customFormat="1" ht="42.75" customHeight="1">
      <c r="B4" s="119"/>
      <c r="C4" s="119"/>
      <c r="D4" s="119"/>
      <c r="E4" s="119"/>
      <c r="F4" s="119"/>
      <c r="G4" s="120"/>
      <c r="H4" s="120"/>
      <c r="I4" s="120"/>
      <c r="J4" s="120"/>
      <c r="K4" s="120"/>
      <c r="L4" s="120"/>
      <c r="M4" s="120"/>
      <c r="N4" s="120"/>
      <c r="O4" s="120"/>
      <c r="P4" s="120"/>
      <c r="Q4" s="120"/>
      <c r="R4" s="120"/>
      <c r="S4" s="120"/>
      <c r="T4" s="120"/>
      <c r="U4" s="120"/>
      <c r="V4" s="120"/>
      <c r="W4" s="120"/>
      <c r="X4" s="120"/>
      <c r="Y4" s="120"/>
      <c r="Z4" s="120"/>
      <c r="AA4" s="120"/>
      <c r="AB4" s="120"/>
      <c r="AC4" s="120"/>
      <c r="AD4" s="120"/>
      <c r="AE4" s="120"/>
      <c r="AF4" s="120"/>
      <c r="AG4" s="120"/>
      <c r="AH4" s="120"/>
      <c r="AI4" s="120"/>
      <c r="AJ4" s="120"/>
      <c r="AK4" s="120"/>
      <c r="AL4" s="120"/>
      <c r="AM4" s="120"/>
      <c r="AN4" s="120"/>
      <c r="AO4" s="120"/>
      <c r="AP4" s="120"/>
      <c r="AQ4" s="120"/>
      <c r="AR4" s="120"/>
    </row>
    <row r="5" spans="1:78" s="81" customFormat="1" ht="14.25">
      <c r="A5" s="88" t="s">
        <v>147</v>
      </c>
      <c r="B5" s="92" t="s">
        <v>107</v>
      </c>
      <c r="C5" s="94" t="s">
        <v>108</v>
      </c>
      <c r="D5" s="89" t="s">
        <v>149</v>
      </c>
      <c r="E5" s="89" t="s">
        <v>22</v>
      </c>
      <c r="F5" s="89" t="s">
        <v>25</v>
      </c>
      <c r="G5" s="89" t="s">
        <v>109</v>
      </c>
      <c r="H5" s="89" t="s">
        <v>110</v>
      </c>
      <c r="I5" s="89" t="s">
        <v>111</v>
      </c>
      <c r="J5" s="89" t="s">
        <v>112</v>
      </c>
      <c r="K5" s="89" t="s">
        <v>113</v>
      </c>
      <c r="L5" s="89" t="s">
        <v>114</v>
      </c>
      <c r="M5" s="89" t="s">
        <v>115</v>
      </c>
      <c r="N5" s="89" t="s">
        <v>116</v>
      </c>
      <c r="O5" s="89" t="s">
        <v>117</v>
      </c>
      <c r="P5" s="89" t="s">
        <v>118</v>
      </c>
      <c r="Q5" s="89" t="s">
        <v>119</v>
      </c>
      <c r="R5" s="89" t="s">
        <v>120</v>
      </c>
      <c r="S5" s="89" t="s">
        <v>121</v>
      </c>
      <c r="T5" s="89" t="s">
        <v>122</v>
      </c>
      <c r="U5" s="89" t="s">
        <v>123</v>
      </c>
      <c r="V5" s="89" t="s">
        <v>124</v>
      </c>
      <c r="W5" s="89" t="s">
        <v>125</v>
      </c>
      <c r="X5" s="89" t="s">
        <v>126</v>
      </c>
      <c r="Y5" s="89" t="s">
        <v>127</v>
      </c>
      <c r="Z5" s="89" t="s">
        <v>128</v>
      </c>
      <c r="AA5" s="89" t="s">
        <v>129</v>
      </c>
      <c r="AB5" s="89" t="s">
        <v>130</v>
      </c>
      <c r="AC5" s="89" t="s">
        <v>131</v>
      </c>
      <c r="AD5" s="89" t="s">
        <v>132</v>
      </c>
      <c r="AE5" s="89" t="s">
        <v>133</v>
      </c>
      <c r="AF5" s="89" t="s">
        <v>134</v>
      </c>
      <c r="AG5" s="89" t="s">
        <v>135</v>
      </c>
      <c r="AH5" s="89" t="s">
        <v>136</v>
      </c>
      <c r="AI5" s="89" t="s">
        <v>137</v>
      </c>
      <c r="AJ5" s="89" t="s">
        <v>138</v>
      </c>
      <c r="AK5" s="89" t="s">
        <v>139</v>
      </c>
      <c r="AL5" s="89" t="s">
        <v>140</v>
      </c>
      <c r="AM5" s="89" t="s">
        <v>141</v>
      </c>
      <c r="AN5" s="89" t="s">
        <v>142</v>
      </c>
      <c r="AO5" s="89" t="s">
        <v>143</v>
      </c>
      <c r="AP5" s="89" t="s">
        <v>144</v>
      </c>
      <c r="AQ5" s="89" t="s">
        <v>145</v>
      </c>
      <c r="AR5" s="89" t="s">
        <v>146</v>
      </c>
    </row>
    <row r="6" spans="1:78" s="22" customFormat="1">
      <c r="A6" s="22" t="s">
        <v>162</v>
      </c>
      <c r="B6" s="93"/>
      <c r="C6" s="95"/>
      <c r="D6" s="95"/>
      <c r="E6" s="96"/>
      <c r="F6" s="96"/>
      <c r="G6" s="96"/>
      <c r="H6" s="96"/>
      <c r="I6" s="96"/>
      <c r="J6" s="96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  <c r="AD6" s="96"/>
      <c r="AE6" s="96"/>
      <c r="AF6" s="96"/>
      <c r="AG6" s="96"/>
      <c r="AH6" s="96"/>
      <c r="AI6" s="96"/>
      <c r="AJ6" s="96"/>
      <c r="AK6" s="96"/>
      <c r="AL6" s="96"/>
      <c r="AM6" s="96"/>
      <c r="AN6" s="96"/>
      <c r="AO6" s="96"/>
      <c r="AP6" s="96"/>
      <c r="AQ6" s="96"/>
      <c r="AR6" s="96"/>
    </row>
  </sheetData>
  <mergeCells count="3">
    <mergeCell ref="B2:F2"/>
    <mergeCell ref="B1:F1"/>
    <mergeCell ref="B3:F3"/>
  </mergeCells>
  <conditionalFormatting sqref="G2:AR3">
    <cfRule type="containsBlanks" dxfId="6" priority="7">
      <formula>LEN(TRIM(G2))=0</formula>
    </cfRule>
  </conditionalFormatting>
  <conditionalFormatting sqref="G3:AR3">
    <cfRule type="expression" dxfId="5" priority="1">
      <formula>G3&lt;0</formula>
    </cfRule>
    <cfRule type="expression" dxfId="4" priority="2">
      <formula>G3=0</formula>
    </cfRule>
  </conditionalFormatting>
  <dataValidations count="3">
    <dataValidation type="list" allowBlank="1" showInputMessage="1" showErrorMessage="1" sqref="B6">
      <formula1>Bulan</formula1>
    </dataValidation>
    <dataValidation type="list" allowBlank="1" showInputMessage="1" showErrorMessage="1" sqref="E6">
      <formula1>DaftarKontak</formula1>
    </dataValidation>
    <dataValidation type="list" allowBlank="1" showInputMessage="1" showErrorMessage="1" sqref="F6">
      <formula1>Pembeli</formula1>
    </dataValidation>
  </dataValidation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7"/>
  <dimension ref="A1:AZ21"/>
  <sheetViews>
    <sheetView showGridLines="0" topLeftCell="B1" workbookViewId="0">
      <selection activeCell="D24" sqref="D24"/>
    </sheetView>
  </sheetViews>
  <sheetFormatPr defaultRowHeight="13.5"/>
  <cols>
    <col min="1" max="1" width="15.5703125" style="22" hidden="1" customWidth="1"/>
    <col min="2" max="2" width="13.140625" style="86" bestFit="1" customWidth="1"/>
    <col min="3" max="3" width="16.42578125" style="87" bestFit="1" customWidth="1"/>
    <col min="4" max="4" width="18.5703125" style="87" bestFit="1" customWidth="1"/>
    <col min="5" max="5" width="28.42578125" style="22" bestFit="1" customWidth="1"/>
    <col min="6" max="6" width="27.7109375" style="22" bestFit="1" customWidth="1"/>
    <col min="7" max="7" width="13.140625" style="22" bestFit="1" customWidth="1"/>
    <col min="8" max="8" width="13.85546875" style="22" bestFit="1" customWidth="1"/>
    <col min="9" max="9" width="11.85546875" style="22" bestFit="1" customWidth="1"/>
    <col min="10" max="10" width="12.7109375" style="22" bestFit="1" customWidth="1"/>
    <col min="11" max="11" width="6.42578125" style="22" bestFit="1" customWidth="1"/>
    <col min="12" max="12" width="12.7109375" style="22" bestFit="1" customWidth="1"/>
    <col min="13" max="13" width="6.28515625" style="22" bestFit="1" customWidth="1"/>
    <col min="14" max="14" width="16.7109375" style="22" bestFit="1" customWidth="1"/>
    <col min="15" max="15" width="17.7109375" style="22" bestFit="1" customWidth="1"/>
    <col min="16" max="16" width="10.85546875" style="22" bestFit="1" customWidth="1"/>
    <col min="17" max="17" width="14.140625" style="22" bestFit="1" customWidth="1"/>
    <col min="18" max="18" width="12.140625" style="22" bestFit="1" customWidth="1"/>
    <col min="19" max="19" width="5" style="22" bestFit="1" customWidth="1"/>
    <col min="20" max="20" width="10.5703125" style="22" bestFit="1" customWidth="1"/>
    <col min="21" max="21" width="12" style="22" bestFit="1" customWidth="1"/>
    <col min="22" max="22" width="11.85546875" style="22" bestFit="1" customWidth="1"/>
    <col min="23" max="23" width="12.85546875" style="22" bestFit="1" customWidth="1"/>
    <col min="24" max="24" width="13.42578125" style="22" bestFit="1" customWidth="1"/>
    <col min="25" max="25" width="15" style="22" bestFit="1" customWidth="1"/>
    <col min="26" max="26" width="9" style="22" bestFit="1" customWidth="1"/>
    <col min="27" max="27" width="6.42578125" style="22" bestFit="1" customWidth="1"/>
    <col min="28" max="28" width="7.5703125" style="22" bestFit="1" customWidth="1"/>
    <col min="29" max="29" width="6.42578125" style="22" bestFit="1" customWidth="1"/>
    <col min="30" max="30" width="3.5703125" style="22" bestFit="1" customWidth="1"/>
    <col min="31" max="31" width="5.85546875" style="22" bestFit="1" customWidth="1"/>
    <col min="32" max="32" width="10.28515625" style="22" bestFit="1" customWidth="1"/>
    <col min="33" max="34" width="8.7109375" style="22" bestFit="1" customWidth="1"/>
    <col min="35" max="35" width="12.85546875" style="22" bestFit="1" customWidth="1"/>
    <col min="36" max="36" width="6.7109375" style="22" bestFit="1" customWidth="1"/>
    <col min="37" max="37" width="5.85546875" style="22" bestFit="1" customWidth="1"/>
    <col min="38" max="38" width="12" style="22" bestFit="1" customWidth="1"/>
    <col min="39" max="39" width="12.85546875" style="22" bestFit="1" customWidth="1"/>
    <col min="40" max="40" width="6.5703125" style="22" bestFit="1" customWidth="1"/>
    <col min="41" max="41" width="5.7109375" style="22" bestFit="1" customWidth="1"/>
    <col min="42" max="42" width="5.42578125" style="22" bestFit="1" customWidth="1"/>
    <col min="43" max="43" width="6" style="22" bestFit="1" customWidth="1"/>
    <col min="44" max="44" width="6.140625" style="22" bestFit="1" customWidth="1"/>
    <col min="45" max="52" width="0" style="22" hidden="1" customWidth="1"/>
    <col min="53" max="16384" width="9.140625" style="22"/>
  </cols>
  <sheetData>
    <row r="1" spans="1:52" s="165" customFormat="1">
      <c r="A1" s="165" t="s">
        <v>147</v>
      </c>
      <c r="B1" s="166" t="s">
        <v>107</v>
      </c>
      <c r="C1" s="167" t="s">
        <v>108</v>
      </c>
      <c r="D1" s="167" t="s">
        <v>149</v>
      </c>
      <c r="E1" s="168" t="s">
        <v>22</v>
      </c>
      <c r="F1" s="168" t="s">
        <v>25</v>
      </c>
      <c r="G1" s="168" t="str">
        <f>IF(InputPemesanan!G$5="","",InputPemesanan!G$5)</f>
        <v>Bawang Daun</v>
      </c>
      <c r="H1" s="168" t="str">
        <f>IF(InputPemesanan!H$5="","",InputPemesanan!H$5)</f>
        <v>Bawang Merah</v>
      </c>
      <c r="I1" s="168" t="str">
        <f>IF(InputPemesanan!I$5="","",InputPemesanan!I$5)</f>
        <v>Bayam Hijau</v>
      </c>
      <c r="J1" s="168" t="str">
        <f>IF(InputPemesanan!J$5="","",InputPemesanan!J$5)</f>
        <v>Bayam Merah</v>
      </c>
      <c r="K1" s="168" t="str">
        <f>IF(InputPemesanan!K$5="","",InputPemesanan!K$5)</f>
        <v>Brokoli</v>
      </c>
      <c r="L1" s="168" t="str">
        <f>IF(InputPemesanan!L$5="","",InputPemesanan!L$5)</f>
        <v>Bumbu Dapur</v>
      </c>
      <c r="M1" s="168" t="str">
        <f>IF(InputPemesanan!M$5="","",InputPemesanan!M$5)</f>
        <v>Buncis</v>
      </c>
      <c r="N1" s="168" t="str">
        <f>IF(InputPemesanan!N$5="","",InputPemesanan!N$5)</f>
        <v>Cabe Hijau Besar</v>
      </c>
      <c r="O1" s="168" t="str">
        <f>IF(InputPemesanan!O$5="","",InputPemesanan!O$5)</f>
        <v>Cabe Merah Besar</v>
      </c>
      <c r="P1" s="168" t="str">
        <f>IF(InputPemesanan!P$5="","",InputPemesanan!P$5)</f>
        <v>Daun Jeruk</v>
      </c>
      <c r="Q1" s="168" t="str">
        <f>IF(InputPemesanan!Q$5="","",InputPemesanan!Q$5)</f>
        <v>Daun Singkong</v>
      </c>
      <c r="R1" s="168" t="str">
        <f>IF(InputPemesanan!R$5="","",InputPemesanan!R$5)</f>
        <v>Jagung Semi</v>
      </c>
      <c r="S1" s="168" t="str">
        <f>IF(InputPemesanan!S$5="","",InputPemesanan!S$5)</f>
        <v>Jahe</v>
      </c>
      <c r="T1" s="168" t="str">
        <f>IF(InputPemesanan!T$5="","",InputPemesanan!T$5)</f>
        <v>Jahe Muda</v>
      </c>
      <c r="U1" s="168" t="str">
        <f>IF(InputPemesanan!U$5="","",InputPemesanan!U$5)</f>
        <v>Jeruk Lemon</v>
      </c>
      <c r="V1" s="168" t="str">
        <f>IF(InputPemesanan!V$5="","",InputPemesanan!V$5)</f>
        <v>Kacang Bulu</v>
      </c>
      <c r="W1" s="168" t="str">
        <f>IF(InputPemesanan!W$5="","",InputPemesanan!W$5)</f>
        <v>Kacang Endul</v>
      </c>
      <c r="X1" s="168" t="str">
        <f>IF(InputPemesanan!X$5="","",InputPemesanan!X$5)</f>
        <v>Kacang Merah</v>
      </c>
      <c r="Y1" s="168" t="str">
        <f>IF(InputPemesanan!Y$5="","",InputPemesanan!Y$5)</f>
        <v>Kacang Panjang</v>
      </c>
      <c r="Z1" s="168" t="str">
        <f>IF(InputPemesanan!Z$5="","",InputPemesanan!Z$5)</f>
        <v>Kangkung</v>
      </c>
      <c r="AA1" s="168" t="str">
        <f>IF(InputPemesanan!AA$5="","",InputPemesanan!AA$5)</f>
        <v>Kecipir</v>
      </c>
      <c r="AB1" s="168" t="str">
        <f>IF(InputPemesanan!AB$5="","",InputPemesanan!AB$5)</f>
        <v>Kentang</v>
      </c>
      <c r="AC1" s="168" t="str">
        <f>IF(InputPemesanan!AC$5="","",InputPemesanan!AC$5)</f>
        <v>Kiciwis</v>
      </c>
      <c r="AD1" s="168" t="str">
        <f>IF(InputPemesanan!AD$5="","",InputPemesanan!AD$5)</f>
        <v>Kol</v>
      </c>
      <c r="AE1" s="168" t="str">
        <f>IF(InputPemesanan!AE$5="","",InputPemesanan!AE$5)</f>
        <v>Kunyit</v>
      </c>
      <c r="AF1" s="168" t="str">
        <f>IF(InputPemesanan!AF$5="","",InputPemesanan!AF$5)</f>
        <v>Labu Siam</v>
      </c>
      <c r="AG1" s="168" t="str">
        <f>IF(InputPemesanan!AG$5="","",InputPemesanan!AG$5)</f>
        <v>Lengkuas</v>
      </c>
      <c r="AH1" s="168" t="str">
        <f>IF(InputPemesanan!AH$5="","",InputPemesanan!AH$5)</f>
        <v>Mentimun</v>
      </c>
      <c r="AI1" s="168" t="str">
        <f>IF(InputPemesanan!AI$5="","",InputPemesanan!AI$5)</f>
        <v>Nangka Muda</v>
      </c>
      <c r="AJ1" s="168" t="str">
        <f>IF(InputPemesanan!AJ$5="","",InputPemesanan!AJ$5)</f>
        <v>Pakcoy</v>
      </c>
      <c r="AK1" s="168" t="str">
        <f>IF(InputPemesanan!AK$5="","",InputPemesanan!AK$5)</f>
        <v>Petsai</v>
      </c>
      <c r="AL1" s="168" t="str">
        <f>IF(InputPemesanan!AL$5="","",InputPemesanan!AL$5)</f>
        <v>Selada Hijau</v>
      </c>
      <c r="AM1" s="168" t="str">
        <f>IF(InputPemesanan!AM$5="","",InputPemesanan!AM$5)</f>
        <v>Selada Merah</v>
      </c>
      <c r="AN1" s="168" t="str">
        <f>IF(InputPemesanan!AN$5="","",InputPemesanan!AN$5)</f>
        <v>Seledri</v>
      </c>
      <c r="AO1" s="168" t="str">
        <f>IF(InputPemesanan!AO$5="","",InputPemesanan!AO$5)</f>
        <v>Sereh</v>
      </c>
      <c r="AP1" s="168" t="str">
        <f>IF(InputPemesanan!AP$5="","",InputPemesanan!AP$5)</f>
        <v>Sosin</v>
      </c>
      <c r="AQ1" s="168" t="str">
        <f>IF(InputPemesanan!AQ$5="","",InputPemesanan!AQ$5)</f>
        <v>Tomat</v>
      </c>
      <c r="AR1" s="168" t="str">
        <f>IF(InputPemesanan!AR$5="","",InputPemesanan!AR$5)</f>
        <v>Wortel</v>
      </c>
      <c r="AS1" s="69" t="str">
        <f>IF(InputPemesanan!AS$5="","",InputPemesanan!AS$5)</f>
        <v/>
      </c>
      <c r="AT1" s="69" t="str">
        <f>IF(InputPemesanan!AT$5="","",InputPemesanan!AT$5)</f>
        <v/>
      </c>
      <c r="AU1" s="69" t="str">
        <f>IF(InputPemesanan!AU$5="","",InputPemesanan!AU$5)</f>
        <v/>
      </c>
      <c r="AV1" s="69" t="str">
        <f>IF(InputPemesanan!AV$5="","",InputPemesanan!AV$5)</f>
        <v/>
      </c>
      <c r="AW1" s="69" t="str">
        <f>IF(InputPemesanan!AW$5="","",InputPemesanan!AW$5)</f>
        <v/>
      </c>
      <c r="AX1" s="69" t="str">
        <f>IF(InputPemesanan!AX$5="","",InputPemesanan!AX$5)</f>
        <v/>
      </c>
      <c r="AY1" s="69" t="str">
        <f>IF(InputPemesanan!AY$5="","",InputPemesanan!AY$5)</f>
        <v/>
      </c>
      <c r="AZ1" s="69" t="str">
        <f>IF(InputPemesanan!AZ$5="","",InputPemesanan!AZ$5)</f>
        <v/>
      </c>
    </row>
    <row r="2" spans="1:52">
      <c r="A2" s="22" t="s">
        <v>162</v>
      </c>
      <c r="B2" s="86">
        <v>43132</v>
      </c>
      <c r="C2" s="87">
        <v>43132</v>
      </c>
      <c r="D2" s="87" t="s">
        <v>161</v>
      </c>
      <c r="E2" s="22" t="s">
        <v>20</v>
      </c>
      <c r="F2" s="22" t="s">
        <v>154</v>
      </c>
      <c r="G2" s="22" t="s">
        <v>161</v>
      </c>
      <c r="H2" s="22" t="s">
        <v>161</v>
      </c>
      <c r="I2" s="22" t="s">
        <v>161</v>
      </c>
      <c r="J2" s="22" t="s">
        <v>161</v>
      </c>
      <c r="K2" s="22" t="s">
        <v>161</v>
      </c>
      <c r="L2" s="22" t="s">
        <v>161</v>
      </c>
      <c r="M2" s="22" t="s">
        <v>161</v>
      </c>
      <c r="N2" s="22" t="s">
        <v>161</v>
      </c>
      <c r="O2" s="22" t="s">
        <v>161</v>
      </c>
      <c r="P2" s="22" t="s">
        <v>161</v>
      </c>
      <c r="Q2" s="22" t="s">
        <v>161</v>
      </c>
      <c r="R2" s="22" t="s">
        <v>161</v>
      </c>
      <c r="S2" s="22">
        <v>0.25</v>
      </c>
      <c r="T2" s="22" t="s">
        <v>161</v>
      </c>
      <c r="U2" s="22">
        <v>0.25</v>
      </c>
      <c r="V2" s="22" t="s">
        <v>161</v>
      </c>
      <c r="W2" s="22" t="s">
        <v>161</v>
      </c>
      <c r="X2" s="22" t="s">
        <v>161</v>
      </c>
      <c r="Y2" s="22" t="s">
        <v>161</v>
      </c>
      <c r="Z2" s="22" t="s">
        <v>161</v>
      </c>
      <c r="AA2" s="22" t="s">
        <v>161</v>
      </c>
      <c r="AB2" s="22" t="s">
        <v>161</v>
      </c>
      <c r="AC2" s="22" t="s">
        <v>161</v>
      </c>
      <c r="AD2" s="22" t="s">
        <v>161</v>
      </c>
      <c r="AE2" s="22" t="s">
        <v>161</v>
      </c>
      <c r="AF2" s="22" t="s">
        <v>161</v>
      </c>
      <c r="AG2" s="22" t="s">
        <v>161</v>
      </c>
      <c r="AH2" s="22" t="s">
        <v>161</v>
      </c>
      <c r="AI2" s="22" t="s">
        <v>161</v>
      </c>
      <c r="AJ2" s="22" t="s">
        <v>161</v>
      </c>
      <c r="AK2" s="22" t="s">
        <v>161</v>
      </c>
      <c r="AL2" s="22" t="s">
        <v>161</v>
      </c>
      <c r="AM2" s="22" t="s">
        <v>161</v>
      </c>
      <c r="AN2" s="22" t="s">
        <v>161</v>
      </c>
      <c r="AO2" s="22" t="s">
        <v>161</v>
      </c>
      <c r="AP2" s="22" t="s">
        <v>161</v>
      </c>
      <c r="AQ2" s="22" t="s">
        <v>161</v>
      </c>
      <c r="AR2" s="22" t="s">
        <v>161</v>
      </c>
    </row>
    <row r="3" spans="1:52">
      <c r="A3" s="22" t="s">
        <v>162</v>
      </c>
      <c r="B3" s="86">
        <v>43132</v>
      </c>
      <c r="C3" s="87">
        <v>43132</v>
      </c>
      <c r="D3" s="87" t="s">
        <v>161</v>
      </c>
      <c r="E3" s="22" t="s">
        <v>20</v>
      </c>
      <c r="F3" s="22" t="s">
        <v>153</v>
      </c>
      <c r="G3" s="22" t="s">
        <v>161</v>
      </c>
      <c r="H3" s="22" t="s">
        <v>161</v>
      </c>
      <c r="I3" s="22" t="s">
        <v>161</v>
      </c>
      <c r="J3" s="22">
        <v>0.25</v>
      </c>
      <c r="K3" s="22" t="s">
        <v>161</v>
      </c>
      <c r="L3" s="22" t="s">
        <v>161</v>
      </c>
      <c r="M3" s="22" t="s">
        <v>161</v>
      </c>
      <c r="N3" s="22" t="s">
        <v>161</v>
      </c>
      <c r="O3" s="22" t="s">
        <v>161</v>
      </c>
      <c r="P3" s="22" t="s">
        <v>161</v>
      </c>
      <c r="Q3" s="22" t="s">
        <v>161</v>
      </c>
      <c r="R3" s="22" t="s">
        <v>161</v>
      </c>
      <c r="S3" s="22">
        <v>0.25</v>
      </c>
      <c r="T3" s="22" t="s">
        <v>161</v>
      </c>
      <c r="U3" s="22">
        <v>0.25</v>
      </c>
      <c r="V3" s="22" t="s">
        <v>161</v>
      </c>
      <c r="W3" s="22" t="s">
        <v>161</v>
      </c>
      <c r="X3" s="22" t="s">
        <v>161</v>
      </c>
      <c r="Y3" s="22" t="s">
        <v>161</v>
      </c>
      <c r="Z3" s="22" t="s">
        <v>161</v>
      </c>
      <c r="AA3" s="22" t="s">
        <v>161</v>
      </c>
      <c r="AB3" s="22" t="s">
        <v>161</v>
      </c>
      <c r="AC3" s="22">
        <v>0.25</v>
      </c>
      <c r="AD3" s="22" t="s">
        <v>161</v>
      </c>
      <c r="AE3" s="22" t="s">
        <v>161</v>
      </c>
      <c r="AF3" s="22" t="s">
        <v>161</v>
      </c>
      <c r="AG3" s="22" t="s">
        <v>161</v>
      </c>
      <c r="AH3" s="22" t="s">
        <v>161</v>
      </c>
      <c r="AI3" s="22" t="s">
        <v>161</v>
      </c>
      <c r="AJ3" s="22" t="s">
        <v>161</v>
      </c>
      <c r="AK3" s="22" t="s">
        <v>161</v>
      </c>
      <c r="AL3" s="22" t="s">
        <v>161</v>
      </c>
      <c r="AM3" s="22" t="s">
        <v>161</v>
      </c>
      <c r="AN3" s="22" t="s">
        <v>161</v>
      </c>
      <c r="AO3" s="22" t="s">
        <v>161</v>
      </c>
      <c r="AP3" s="22" t="s">
        <v>161</v>
      </c>
      <c r="AQ3" s="22" t="s">
        <v>161</v>
      </c>
      <c r="AR3" s="22" t="s">
        <v>161</v>
      </c>
    </row>
    <row r="4" spans="1:52">
      <c r="A4" s="22" t="s">
        <v>162</v>
      </c>
      <c r="B4" s="86">
        <v>43132</v>
      </c>
      <c r="C4" s="87">
        <v>43132</v>
      </c>
      <c r="D4" s="87" t="s">
        <v>161</v>
      </c>
      <c r="E4" s="22" t="s">
        <v>20</v>
      </c>
      <c r="F4" s="22" t="s">
        <v>155</v>
      </c>
      <c r="G4" s="22">
        <v>0.5</v>
      </c>
      <c r="H4" s="22" t="s">
        <v>161</v>
      </c>
      <c r="I4" s="22" t="s">
        <v>161</v>
      </c>
      <c r="J4" s="22">
        <v>0.5</v>
      </c>
      <c r="K4" s="22" t="s">
        <v>161</v>
      </c>
      <c r="L4" s="22">
        <v>0.5</v>
      </c>
      <c r="M4" s="22" t="s">
        <v>161</v>
      </c>
      <c r="N4" s="22" t="s">
        <v>161</v>
      </c>
      <c r="O4" s="22" t="s">
        <v>161</v>
      </c>
      <c r="P4" s="22" t="s">
        <v>161</v>
      </c>
      <c r="Q4" s="22" t="s">
        <v>161</v>
      </c>
      <c r="R4" s="22" t="s">
        <v>161</v>
      </c>
      <c r="S4" s="22" t="s">
        <v>161</v>
      </c>
      <c r="T4" s="22" t="s">
        <v>161</v>
      </c>
      <c r="U4" s="22" t="s">
        <v>161</v>
      </c>
      <c r="V4" s="22" t="s">
        <v>161</v>
      </c>
      <c r="W4" s="22" t="s">
        <v>161</v>
      </c>
      <c r="X4" s="22" t="s">
        <v>161</v>
      </c>
      <c r="Y4" s="22" t="s">
        <v>161</v>
      </c>
      <c r="Z4" s="22" t="s">
        <v>161</v>
      </c>
      <c r="AA4" s="22" t="s">
        <v>161</v>
      </c>
      <c r="AB4" s="22" t="s">
        <v>161</v>
      </c>
      <c r="AC4" s="22" t="s">
        <v>161</v>
      </c>
      <c r="AD4" s="22" t="s">
        <v>161</v>
      </c>
      <c r="AE4" s="22" t="s">
        <v>161</v>
      </c>
      <c r="AF4" s="22" t="s">
        <v>161</v>
      </c>
      <c r="AG4" s="22" t="s">
        <v>161</v>
      </c>
      <c r="AH4" s="22" t="s">
        <v>161</v>
      </c>
      <c r="AI4" s="22" t="s">
        <v>161</v>
      </c>
      <c r="AJ4" s="22">
        <v>1</v>
      </c>
      <c r="AK4" s="22" t="s">
        <v>161</v>
      </c>
      <c r="AL4" s="22" t="s">
        <v>161</v>
      </c>
      <c r="AM4" s="22" t="s">
        <v>161</v>
      </c>
      <c r="AN4" s="22" t="s">
        <v>161</v>
      </c>
      <c r="AO4" s="22" t="s">
        <v>161</v>
      </c>
      <c r="AP4" s="22">
        <v>0.25</v>
      </c>
      <c r="AQ4" s="22" t="s">
        <v>161</v>
      </c>
      <c r="AR4" s="22" t="s">
        <v>161</v>
      </c>
    </row>
    <row r="5" spans="1:52">
      <c r="A5" s="22" t="s">
        <v>162</v>
      </c>
      <c r="B5" s="86">
        <v>43132</v>
      </c>
      <c r="C5" s="87">
        <v>43132</v>
      </c>
      <c r="D5" s="87" t="s">
        <v>161</v>
      </c>
      <c r="E5" s="22" t="s">
        <v>20</v>
      </c>
      <c r="F5" s="22" t="s">
        <v>156</v>
      </c>
      <c r="G5" s="22" t="s">
        <v>161</v>
      </c>
      <c r="H5" s="22" t="s">
        <v>161</v>
      </c>
      <c r="I5" s="22" t="s">
        <v>161</v>
      </c>
      <c r="J5" s="22" t="s">
        <v>161</v>
      </c>
      <c r="K5" s="22" t="s">
        <v>161</v>
      </c>
      <c r="L5" s="22" t="s">
        <v>161</v>
      </c>
      <c r="M5" s="22" t="s">
        <v>161</v>
      </c>
      <c r="N5" s="22" t="s">
        <v>161</v>
      </c>
      <c r="O5" s="22" t="s">
        <v>161</v>
      </c>
      <c r="P5" s="22" t="s">
        <v>161</v>
      </c>
      <c r="Q5" s="22" t="s">
        <v>161</v>
      </c>
      <c r="R5" s="22" t="s">
        <v>161</v>
      </c>
      <c r="S5" s="22">
        <v>0.25</v>
      </c>
      <c r="T5" s="22" t="s">
        <v>161</v>
      </c>
      <c r="U5" s="22">
        <v>0.25</v>
      </c>
      <c r="V5" s="22" t="s">
        <v>161</v>
      </c>
      <c r="W5" s="22" t="s">
        <v>161</v>
      </c>
      <c r="X5" s="22" t="s">
        <v>161</v>
      </c>
      <c r="Y5" s="22" t="s">
        <v>161</v>
      </c>
      <c r="Z5" s="22" t="s">
        <v>161</v>
      </c>
      <c r="AA5" s="22" t="s">
        <v>161</v>
      </c>
      <c r="AB5" s="22" t="s">
        <v>161</v>
      </c>
      <c r="AC5" s="22" t="s">
        <v>161</v>
      </c>
      <c r="AD5" s="22" t="s">
        <v>161</v>
      </c>
      <c r="AE5" s="22" t="s">
        <v>161</v>
      </c>
      <c r="AF5" s="22" t="s">
        <v>161</v>
      </c>
      <c r="AG5" s="22" t="s">
        <v>161</v>
      </c>
      <c r="AH5" s="22" t="s">
        <v>161</v>
      </c>
      <c r="AI5" s="22" t="s">
        <v>161</v>
      </c>
      <c r="AJ5" s="22" t="s">
        <v>161</v>
      </c>
      <c r="AK5" s="22" t="s">
        <v>161</v>
      </c>
      <c r="AL5" s="22" t="s">
        <v>161</v>
      </c>
      <c r="AM5" s="22" t="s">
        <v>161</v>
      </c>
      <c r="AN5" s="22" t="s">
        <v>161</v>
      </c>
      <c r="AO5" s="22" t="s">
        <v>161</v>
      </c>
      <c r="AP5" s="22" t="s">
        <v>161</v>
      </c>
      <c r="AQ5" s="22" t="s">
        <v>161</v>
      </c>
      <c r="AR5" s="22" t="s">
        <v>161</v>
      </c>
    </row>
    <row r="6" spans="1:52">
      <c r="A6" s="22" t="s">
        <v>162</v>
      </c>
      <c r="B6" s="86">
        <v>43132</v>
      </c>
      <c r="C6" s="87">
        <v>43132</v>
      </c>
      <c r="D6" s="87" t="s">
        <v>161</v>
      </c>
      <c r="E6" s="22" t="s">
        <v>20</v>
      </c>
      <c r="F6" s="22" t="s">
        <v>157</v>
      </c>
      <c r="G6" s="22" t="s">
        <v>161</v>
      </c>
      <c r="H6" s="22" t="s">
        <v>161</v>
      </c>
      <c r="I6" s="22" t="s">
        <v>161</v>
      </c>
      <c r="J6" s="22" t="s">
        <v>161</v>
      </c>
      <c r="K6" s="22" t="s">
        <v>161</v>
      </c>
      <c r="L6" s="22" t="s">
        <v>161</v>
      </c>
      <c r="M6" s="22" t="s">
        <v>161</v>
      </c>
      <c r="N6" s="22" t="s">
        <v>161</v>
      </c>
      <c r="O6" s="22" t="s">
        <v>161</v>
      </c>
      <c r="P6" s="22" t="s">
        <v>161</v>
      </c>
      <c r="Q6" s="22" t="s">
        <v>161</v>
      </c>
      <c r="R6" s="22" t="s">
        <v>161</v>
      </c>
      <c r="S6" s="22" t="s">
        <v>161</v>
      </c>
      <c r="T6" s="22" t="s">
        <v>161</v>
      </c>
      <c r="U6" s="22">
        <v>0.25</v>
      </c>
      <c r="V6" s="22" t="s">
        <v>161</v>
      </c>
      <c r="W6" s="22" t="s">
        <v>161</v>
      </c>
      <c r="X6" s="22" t="s">
        <v>161</v>
      </c>
      <c r="Y6" s="22" t="s">
        <v>161</v>
      </c>
      <c r="Z6" s="22" t="s">
        <v>161</v>
      </c>
      <c r="AA6" s="22" t="s">
        <v>161</v>
      </c>
      <c r="AB6" s="22" t="s">
        <v>161</v>
      </c>
      <c r="AC6" s="22" t="s">
        <v>161</v>
      </c>
      <c r="AD6" s="22" t="s">
        <v>161</v>
      </c>
      <c r="AE6" s="22" t="s">
        <v>161</v>
      </c>
      <c r="AF6" s="22" t="s">
        <v>161</v>
      </c>
      <c r="AG6" s="22" t="s">
        <v>161</v>
      </c>
      <c r="AH6" s="22" t="s">
        <v>161</v>
      </c>
      <c r="AI6" s="22" t="s">
        <v>161</v>
      </c>
      <c r="AJ6" s="22" t="s">
        <v>161</v>
      </c>
      <c r="AK6" s="22" t="s">
        <v>161</v>
      </c>
      <c r="AL6" s="22">
        <v>0.25</v>
      </c>
      <c r="AM6" s="22" t="s">
        <v>161</v>
      </c>
      <c r="AN6" s="22" t="s">
        <v>161</v>
      </c>
      <c r="AO6" s="22" t="s">
        <v>161</v>
      </c>
      <c r="AP6" s="22" t="s">
        <v>161</v>
      </c>
      <c r="AQ6" s="22" t="s">
        <v>161</v>
      </c>
      <c r="AR6" s="22" t="s">
        <v>161</v>
      </c>
    </row>
    <row r="7" spans="1:52">
      <c r="A7" s="22" t="s">
        <v>162</v>
      </c>
      <c r="B7" s="86">
        <v>43132</v>
      </c>
      <c r="C7" s="87">
        <v>43132</v>
      </c>
      <c r="D7" s="87" t="s">
        <v>161</v>
      </c>
      <c r="E7" s="22" t="s">
        <v>49</v>
      </c>
      <c r="F7" s="22" t="s">
        <v>80</v>
      </c>
      <c r="G7" s="22">
        <v>0.25</v>
      </c>
      <c r="H7" s="22" t="s">
        <v>161</v>
      </c>
      <c r="I7" s="22" t="s">
        <v>161</v>
      </c>
      <c r="J7" s="22" t="s">
        <v>161</v>
      </c>
      <c r="K7" s="22" t="s">
        <v>161</v>
      </c>
      <c r="L7" s="22" t="s">
        <v>161</v>
      </c>
      <c r="M7" s="22" t="s">
        <v>161</v>
      </c>
      <c r="N7" s="22" t="s">
        <v>161</v>
      </c>
      <c r="O7" s="22" t="s">
        <v>161</v>
      </c>
      <c r="P7" s="22" t="s">
        <v>161</v>
      </c>
      <c r="Q7" s="22" t="s">
        <v>161</v>
      </c>
      <c r="R7" s="22" t="s">
        <v>161</v>
      </c>
      <c r="S7" s="22">
        <v>0.5</v>
      </c>
      <c r="T7" s="22" t="s">
        <v>161</v>
      </c>
      <c r="U7" s="22">
        <v>1</v>
      </c>
      <c r="V7" s="22" t="s">
        <v>161</v>
      </c>
      <c r="W7" s="22" t="s">
        <v>161</v>
      </c>
      <c r="X7" s="22" t="s">
        <v>161</v>
      </c>
      <c r="Y7" s="22" t="s">
        <v>161</v>
      </c>
      <c r="Z7" s="22" t="s">
        <v>161</v>
      </c>
      <c r="AA7" s="22" t="s">
        <v>161</v>
      </c>
      <c r="AB7" s="22" t="s">
        <v>161</v>
      </c>
      <c r="AC7" s="22" t="s">
        <v>161</v>
      </c>
      <c r="AD7" s="22" t="s">
        <v>161</v>
      </c>
      <c r="AE7" s="22" t="s">
        <v>161</v>
      </c>
      <c r="AF7" s="22" t="s">
        <v>161</v>
      </c>
      <c r="AG7" s="22">
        <v>0.5</v>
      </c>
      <c r="AH7" s="22" t="s">
        <v>161</v>
      </c>
      <c r="AI7" s="22" t="s">
        <v>161</v>
      </c>
      <c r="AJ7" s="22">
        <v>0.5</v>
      </c>
      <c r="AK7" s="22" t="s">
        <v>161</v>
      </c>
      <c r="AL7" s="22" t="s">
        <v>161</v>
      </c>
      <c r="AM7" s="22" t="s">
        <v>161</v>
      </c>
      <c r="AN7" s="22" t="s">
        <v>161</v>
      </c>
      <c r="AO7" s="22" t="s">
        <v>161</v>
      </c>
      <c r="AP7" s="22" t="s">
        <v>161</v>
      </c>
      <c r="AQ7" s="22" t="s">
        <v>161</v>
      </c>
      <c r="AR7" s="22" t="s">
        <v>161</v>
      </c>
    </row>
    <row r="8" spans="1:52">
      <c r="A8" s="22" t="s">
        <v>162</v>
      </c>
      <c r="B8" s="86">
        <v>43132</v>
      </c>
      <c r="C8" s="87">
        <v>43132</v>
      </c>
      <c r="D8" s="87" t="s">
        <v>161</v>
      </c>
      <c r="E8" s="22" t="s">
        <v>49</v>
      </c>
      <c r="F8" s="22" t="s">
        <v>81</v>
      </c>
      <c r="G8" s="22">
        <v>0.25</v>
      </c>
      <c r="H8" s="22" t="s">
        <v>161</v>
      </c>
      <c r="I8" s="22" t="s">
        <v>161</v>
      </c>
      <c r="J8" s="22" t="s">
        <v>161</v>
      </c>
      <c r="K8" s="22" t="s">
        <v>161</v>
      </c>
      <c r="L8" s="22" t="s">
        <v>161</v>
      </c>
      <c r="M8" s="22" t="s">
        <v>161</v>
      </c>
      <c r="N8" s="22" t="s">
        <v>161</v>
      </c>
      <c r="O8" s="22" t="s">
        <v>161</v>
      </c>
      <c r="P8" s="22" t="s">
        <v>161</v>
      </c>
      <c r="Q8" s="22">
        <v>0.75</v>
      </c>
      <c r="R8" s="22" t="s">
        <v>161</v>
      </c>
      <c r="S8" s="22" t="s">
        <v>161</v>
      </c>
      <c r="T8" s="22" t="s">
        <v>161</v>
      </c>
      <c r="U8" s="22" t="s">
        <v>161</v>
      </c>
      <c r="V8" s="22" t="s">
        <v>161</v>
      </c>
      <c r="W8" s="22" t="s">
        <v>161</v>
      </c>
      <c r="X8" s="22" t="s">
        <v>161</v>
      </c>
      <c r="Y8" s="22">
        <v>0.75</v>
      </c>
      <c r="Z8" s="22" t="s">
        <v>161</v>
      </c>
      <c r="AA8" s="22" t="s">
        <v>161</v>
      </c>
      <c r="AB8" s="22" t="s">
        <v>161</v>
      </c>
      <c r="AC8" s="22" t="s">
        <v>161</v>
      </c>
      <c r="AD8" s="22" t="s">
        <v>161</v>
      </c>
      <c r="AE8" s="22" t="s">
        <v>161</v>
      </c>
      <c r="AF8" s="22">
        <v>0.5</v>
      </c>
      <c r="AG8" s="22" t="s">
        <v>161</v>
      </c>
      <c r="AH8" s="22" t="s">
        <v>161</v>
      </c>
      <c r="AI8" s="22">
        <v>0.75</v>
      </c>
      <c r="AJ8" s="22" t="s">
        <v>161</v>
      </c>
      <c r="AK8" s="22" t="s">
        <v>161</v>
      </c>
      <c r="AL8" s="22" t="s">
        <v>161</v>
      </c>
      <c r="AM8" s="22" t="s">
        <v>161</v>
      </c>
      <c r="AN8" s="22" t="s">
        <v>161</v>
      </c>
      <c r="AO8" s="22" t="s">
        <v>161</v>
      </c>
      <c r="AP8" s="22">
        <v>0.5</v>
      </c>
      <c r="AQ8" s="22" t="s">
        <v>161</v>
      </c>
      <c r="AR8" s="22">
        <v>0.5</v>
      </c>
    </row>
    <row r="9" spans="1:52">
      <c r="A9" s="22" t="s">
        <v>162</v>
      </c>
      <c r="B9" s="86">
        <v>43132</v>
      </c>
      <c r="C9" s="87">
        <v>43132</v>
      </c>
      <c r="D9" s="87" t="s">
        <v>161</v>
      </c>
      <c r="E9" s="22" t="s">
        <v>49</v>
      </c>
      <c r="F9" s="22" t="s">
        <v>82</v>
      </c>
      <c r="G9" s="22">
        <v>0.25</v>
      </c>
      <c r="H9" s="22" t="s">
        <v>161</v>
      </c>
      <c r="I9" s="22" t="s">
        <v>161</v>
      </c>
      <c r="J9" s="22" t="s">
        <v>161</v>
      </c>
      <c r="K9" s="22" t="s">
        <v>161</v>
      </c>
      <c r="L9" s="22" t="s">
        <v>161</v>
      </c>
      <c r="M9" s="22" t="s">
        <v>161</v>
      </c>
      <c r="N9" s="22">
        <v>0.01</v>
      </c>
      <c r="O9" s="22" t="s">
        <v>161</v>
      </c>
      <c r="P9" s="22" t="s">
        <v>161</v>
      </c>
      <c r="Q9" s="22">
        <v>0.75</v>
      </c>
      <c r="R9" s="22" t="s">
        <v>161</v>
      </c>
      <c r="S9" s="22" t="s">
        <v>161</v>
      </c>
      <c r="T9" s="22" t="s">
        <v>161</v>
      </c>
      <c r="U9" s="22" t="s">
        <v>161</v>
      </c>
      <c r="V9" s="22" t="s">
        <v>161</v>
      </c>
      <c r="W9" s="22" t="s">
        <v>161</v>
      </c>
      <c r="X9" s="22" t="s">
        <v>161</v>
      </c>
      <c r="Y9" s="22">
        <v>0.5</v>
      </c>
      <c r="Z9" s="22" t="s">
        <v>161</v>
      </c>
      <c r="AA9" s="22" t="s">
        <v>161</v>
      </c>
      <c r="AB9" s="22" t="s">
        <v>161</v>
      </c>
      <c r="AC9" s="22" t="s">
        <v>161</v>
      </c>
      <c r="AD9" s="22" t="s">
        <v>161</v>
      </c>
      <c r="AE9" s="22" t="s">
        <v>161</v>
      </c>
      <c r="AF9" s="22" t="s">
        <v>161</v>
      </c>
      <c r="AG9" s="22" t="s">
        <v>161</v>
      </c>
      <c r="AH9" s="22" t="s">
        <v>161</v>
      </c>
      <c r="AI9" s="22" t="s">
        <v>161</v>
      </c>
      <c r="AJ9" s="22">
        <v>1.5</v>
      </c>
      <c r="AK9" s="22" t="s">
        <v>161</v>
      </c>
      <c r="AL9" s="22">
        <v>0.5</v>
      </c>
      <c r="AM9" s="22" t="s">
        <v>161</v>
      </c>
      <c r="AN9" s="22" t="s">
        <v>161</v>
      </c>
      <c r="AO9" s="22" t="s">
        <v>161</v>
      </c>
      <c r="AP9" s="22">
        <v>0.5</v>
      </c>
      <c r="AQ9" s="22" t="s">
        <v>161</v>
      </c>
      <c r="AR9" s="22" t="s">
        <v>161</v>
      </c>
    </row>
    <row r="10" spans="1:52">
      <c r="A10" s="22" t="s">
        <v>162</v>
      </c>
      <c r="B10" s="86">
        <v>43132</v>
      </c>
      <c r="C10" s="87">
        <v>43132</v>
      </c>
      <c r="D10" s="87" t="s">
        <v>161</v>
      </c>
      <c r="E10" s="22" t="s">
        <v>75</v>
      </c>
      <c r="F10" s="22" t="s">
        <v>158</v>
      </c>
      <c r="G10" s="22" t="s">
        <v>161</v>
      </c>
      <c r="H10" s="22" t="s">
        <v>161</v>
      </c>
      <c r="I10" s="22" t="s">
        <v>161</v>
      </c>
      <c r="J10" s="22" t="s">
        <v>161</v>
      </c>
      <c r="K10" s="22" t="s">
        <v>161</v>
      </c>
      <c r="L10" s="22" t="s">
        <v>161</v>
      </c>
      <c r="M10" s="22" t="s">
        <v>161</v>
      </c>
      <c r="N10" s="22" t="s">
        <v>161</v>
      </c>
      <c r="O10" s="22" t="s">
        <v>161</v>
      </c>
      <c r="P10" s="22" t="s">
        <v>161</v>
      </c>
      <c r="Q10" s="22" t="s">
        <v>161</v>
      </c>
      <c r="R10" s="22" t="s">
        <v>161</v>
      </c>
      <c r="S10" s="22" t="s">
        <v>161</v>
      </c>
      <c r="T10" s="22" t="s">
        <v>161</v>
      </c>
      <c r="U10" s="22">
        <v>0.25</v>
      </c>
      <c r="V10" s="22" t="s">
        <v>161</v>
      </c>
      <c r="W10" s="22" t="s">
        <v>161</v>
      </c>
      <c r="X10" s="22" t="s">
        <v>161</v>
      </c>
      <c r="Y10" s="22" t="s">
        <v>161</v>
      </c>
      <c r="Z10" s="22" t="s">
        <v>161</v>
      </c>
      <c r="AA10" s="22" t="s">
        <v>161</v>
      </c>
      <c r="AB10" s="22" t="s">
        <v>161</v>
      </c>
      <c r="AC10" s="22">
        <v>0.25</v>
      </c>
      <c r="AD10" s="22" t="s">
        <v>161</v>
      </c>
      <c r="AE10" s="22" t="s">
        <v>161</v>
      </c>
      <c r="AF10" s="22" t="s">
        <v>161</v>
      </c>
      <c r="AG10" s="22" t="s">
        <v>161</v>
      </c>
      <c r="AH10" s="22" t="s">
        <v>161</v>
      </c>
      <c r="AI10" s="22" t="s">
        <v>161</v>
      </c>
      <c r="AJ10" s="22" t="s">
        <v>161</v>
      </c>
      <c r="AK10" s="22" t="s">
        <v>161</v>
      </c>
      <c r="AL10" s="22">
        <v>0.25</v>
      </c>
      <c r="AM10" s="22" t="s">
        <v>161</v>
      </c>
      <c r="AN10" s="22" t="s">
        <v>161</v>
      </c>
      <c r="AO10" s="22" t="s">
        <v>161</v>
      </c>
      <c r="AP10" s="22">
        <v>0.25</v>
      </c>
      <c r="AQ10" s="22" t="s">
        <v>161</v>
      </c>
      <c r="AR10" s="22" t="s">
        <v>161</v>
      </c>
    </row>
    <row r="11" spans="1:52">
      <c r="A11" s="22" t="s">
        <v>162</v>
      </c>
      <c r="B11" s="86">
        <v>43132</v>
      </c>
      <c r="C11" s="87">
        <v>43132</v>
      </c>
      <c r="D11" s="87" t="s">
        <v>161</v>
      </c>
      <c r="E11" s="22" t="s">
        <v>18</v>
      </c>
      <c r="F11" s="22" t="s">
        <v>86</v>
      </c>
      <c r="G11" s="22" t="s">
        <v>161</v>
      </c>
      <c r="H11" s="22" t="s">
        <v>161</v>
      </c>
      <c r="I11" s="22" t="s">
        <v>161</v>
      </c>
      <c r="J11" s="22" t="s">
        <v>161</v>
      </c>
      <c r="K11" s="22" t="s">
        <v>161</v>
      </c>
      <c r="L11" s="22" t="s">
        <v>161</v>
      </c>
      <c r="M11" s="22" t="s">
        <v>161</v>
      </c>
      <c r="N11" s="22" t="s">
        <v>161</v>
      </c>
      <c r="O11" s="22" t="s">
        <v>161</v>
      </c>
      <c r="P11" s="22" t="s">
        <v>161</v>
      </c>
      <c r="Q11" s="22" t="s">
        <v>161</v>
      </c>
      <c r="R11" s="22" t="s">
        <v>161</v>
      </c>
      <c r="S11" s="22" t="s">
        <v>161</v>
      </c>
      <c r="T11" s="22" t="s">
        <v>161</v>
      </c>
      <c r="U11" s="22" t="s">
        <v>161</v>
      </c>
      <c r="V11" s="22" t="s">
        <v>161</v>
      </c>
      <c r="W11" s="22" t="s">
        <v>161</v>
      </c>
      <c r="X11" s="22" t="s">
        <v>161</v>
      </c>
      <c r="Y11" s="22" t="s">
        <v>161</v>
      </c>
      <c r="Z11" s="22" t="s">
        <v>161</v>
      </c>
      <c r="AA11" s="22" t="s">
        <v>161</v>
      </c>
      <c r="AB11" s="22" t="s">
        <v>161</v>
      </c>
      <c r="AC11" s="22" t="s">
        <v>161</v>
      </c>
      <c r="AD11" s="22" t="s">
        <v>161</v>
      </c>
      <c r="AE11" s="22" t="s">
        <v>161</v>
      </c>
      <c r="AF11" s="22" t="s">
        <v>161</v>
      </c>
      <c r="AG11" s="22" t="s">
        <v>161</v>
      </c>
      <c r="AH11" s="22" t="s">
        <v>161</v>
      </c>
      <c r="AI11" s="22" t="s">
        <v>161</v>
      </c>
      <c r="AJ11" s="22" t="s">
        <v>161</v>
      </c>
      <c r="AK11" s="22" t="s">
        <v>161</v>
      </c>
      <c r="AL11" s="22" t="s">
        <v>161</v>
      </c>
      <c r="AM11" s="22" t="s">
        <v>161</v>
      </c>
      <c r="AN11" s="22" t="s">
        <v>161</v>
      </c>
      <c r="AO11" s="22" t="s">
        <v>161</v>
      </c>
      <c r="AP11" s="22" t="s">
        <v>161</v>
      </c>
      <c r="AQ11" s="22" t="s">
        <v>161</v>
      </c>
      <c r="AR11" s="22">
        <v>2</v>
      </c>
    </row>
    <row r="12" spans="1:52">
      <c r="A12" s="22" t="s">
        <v>162</v>
      </c>
      <c r="B12" s="86">
        <v>43132</v>
      </c>
      <c r="C12" s="87">
        <v>43132</v>
      </c>
      <c r="D12" s="87" t="s">
        <v>161</v>
      </c>
      <c r="E12" s="22" t="s">
        <v>18</v>
      </c>
      <c r="F12" s="22" t="s">
        <v>66</v>
      </c>
      <c r="G12" s="22" t="s">
        <v>161</v>
      </c>
      <c r="H12" s="22" t="s">
        <v>161</v>
      </c>
      <c r="I12" s="22" t="s">
        <v>161</v>
      </c>
      <c r="J12" s="22" t="s">
        <v>161</v>
      </c>
      <c r="K12" s="22" t="s">
        <v>161</v>
      </c>
      <c r="L12" s="22" t="s">
        <v>161</v>
      </c>
      <c r="M12" s="22" t="s">
        <v>161</v>
      </c>
      <c r="N12" s="22" t="s">
        <v>161</v>
      </c>
      <c r="O12" s="22" t="s">
        <v>161</v>
      </c>
      <c r="P12" s="22" t="s">
        <v>161</v>
      </c>
      <c r="Q12" s="22" t="s">
        <v>161</v>
      </c>
      <c r="R12" s="22" t="s">
        <v>161</v>
      </c>
      <c r="S12" s="22">
        <v>0.25</v>
      </c>
      <c r="T12" s="22" t="s">
        <v>161</v>
      </c>
      <c r="U12" s="22">
        <v>0.25</v>
      </c>
      <c r="V12" s="22" t="s">
        <v>161</v>
      </c>
      <c r="W12" s="22" t="s">
        <v>161</v>
      </c>
      <c r="X12" s="22" t="s">
        <v>161</v>
      </c>
      <c r="Y12" s="22">
        <v>0.25</v>
      </c>
      <c r="Z12" s="22" t="s">
        <v>161</v>
      </c>
      <c r="AA12" s="22" t="s">
        <v>161</v>
      </c>
      <c r="AB12" s="22" t="s">
        <v>161</v>
      </c>
      <c r="AC12" s="22" t="s">
        <v>161</v>
      </c>
      <c r="AD12" s="22" t="s">
        <v>161</v>
      </c>
      <c r="AE12" s="22" t="s">
        <v>161</v>
      </c>
      <c r="AF12" s="22" t="s">
        <v>161</v>
      </c>
      <c r="AG12" s="22" t="s">
        <v>161</v>
      </c>
      <c r="AH12" s="22" t="s">
        <v>161</v>
      </c>
      <c r="AI12" s="22" t="s">
        <v>161</v>
      </c>
      <c r="AJ12" s="22" t="s">
        <v>161</v>
      </c>
      <c r="AK12" s="22" t="s">
        <v>161</v>
      </c>
      <c r="AL12" s="22" t="s">
        <v>161</v>
      </c>
      <c r="AM12" s="22" t="s">
        <v>161</v>
      </c>
      <c r="AN12" s="22" t="s">
        <v>161</v>
      </c>
      <c r="AO12" s="22" t="s">
        <v>161</v>
      </c>
      <c r="AP12" s="22" t="s">
        <v>161</v>
      </c>
      <c r="AQ12" s="22" t="s">
        <v>161</v>
      </c>
      <c r="AR12" s="22" t="s">
        <v>161</v>
      </c>
    </row>
    <row r="13" spans="1:52">
      <c r="A13" s="22" t="s">
        <v>162</v>
      </c>
      <c r="B13" s="86">
        <v>43132</v>
      </c>
      <c r="C13" s="87">
        <v>43132</v>
      </c>
      <c r="D13" s="87" t="s">
        <v>161</v>
      </c>
      <c r="E13" s="22" t="s">
        <v>18</v>
      </c>
      <c r="F13" s="22" t="s">
        <v>48</v>
      </c>
      <c r="G13" s="22">
        <v>0.25</v>
      </c>
      <c r="H13" s="22" t="s">
        <v>161</v>
      </c>
      <c r="I13" s="22" t="s">
        <v>161</v>
      </c>
      <c r="J13" s="22">
        <v>0.25</v>
      </c>
      <c r="K13" s="22" t="s">
        <v>161</v>
      </c>
      <c r="L13" s="22" t="s">
        <v>161</v>
      </c>
      <c r="M13" s="22" t="s">
        <v>161</v>
      </c>
      <c r="N13" s="22" t="s">
        <v>161</v>
      </c>
      <c r="O13" s="22" t="s">
        <v>161</v>
      </c>
      <c r="P13" s="22" t="s">
        <v>161</v>
      </c>
      <c r="Q13" s="22" t="s">
        <v>161</v>
      </c>
      <c r="R13" s="22" t="s">
        <v>161</v>
      </c>
      <c r="S13" s="22" t="s">
        <v>161</v>
      </c>
      <c r="T13" s="22" t="s">
        <v>161</v>
      </c>
      <c r="U13" s="22" t="s">
        <v>161</v>
      </c>
      <c r="V13" s="22" t="s">
        <v>161</v>
      </c>
      <c r="W13" s="22" t="s">
        <v>161</v>
      </c>
      <c r="X13" s="22" t="s">
        <v>161</v>
      </c>
      <c r="Y13" s="22" t="s">
        <v>161</v>
      </c>
      <c r="Z13" s="22" t="s">
        <v>161</v>
      </c>
      <c r="AA13" s="22" t="s">
        <v>161</v>
      </c>
      <c r="AB13" s="22" t="s">
        <v>161</v>
      </c>
      <c r="AC13" s="22" t="s">
        <v>161</v>
      </c>
      <c r="AD13" s="22" t="s">
        <v>161</v>
      </c>
      <c r="AE13" s="22" t="s">
        <v>161</v>
      </c>
      <c r="AF13" s="22">
        <v>0.25</v>
      </c>
      <c r="AG13" s="22" t="s">
        <v>161</v>
      </c>
      <c r="AH13" s="22" t="s">
        <v>161</v>
      </c>
      <c r="AI13" s="22" t="s">
        <v>161</v>
      </c>
      <c r="AJ13" s="22">
        <v>0.25</v>
      </c>
      <c r="AK13" s="22" t="s">
        <v>161</v>
      </c>
      <c r="AL13" s="22" t="s">
        <v>161</v>
      </c>
      <c r="AM13" s="22" t="s">
        <v>161</v>
      </c>
      <c r="AN13" s="22">
        <v>0.05</v>
      </c>
      <c r="AO13" s="22" t="s">
        <v>161</v>
      </c>
      <c r="AP13" s="22" t="s">
        <v>161</v>
      </c>
      <c r="AQ13" s="22" t="s">
        <v>161</v>
      </c>
      <c r="AR13" s="22">
        <v>0.25</v>
      </c>
    </row>
    <row r="14" spans="1:52">
      <c r="A14" s="22" t="s">
        <v>162</v>
      </c>
      <c r="B14" s="86">
        <v>43132</v>
      </c>
      <c r="C14" s="87">
        <v>43132</v>
      </c>
      <c r="D14" s="87" t="s">
        <v>161</v>
      </c>
      <c r="E14" s="22" t="s">
        <v>18</v>
      </c>
      <c r="F14" s="22" t="s">
        <v>61</v>
      </c>
      <c r="G14" s="22" t="s">
        <v>161</v>
      </c>
      <c r="H14" s="22" t="s">
        <v>161</v>
      </c>
      <c r="I14" s="22" t="s">
        <v>161</v>
      </c>
      <c r="J14" s="22">
        <v>0.25</v>
      </c>
      <c r="K14" s="22" t="s">
        <v>161</v>
      </c>
      <c r="L14" s="22">
        <v>0.25</v>
      </c>
      <c r="M14" s="22" t="s">
        <v>161</v>
      </c>
      <c r="N14" s="22" t="s">
        <v>161</v>
      </c>
      <c r="O14" s="22" t="s">
        <v>161</v>
      </c>
      <c r="P14" s="22" t="s">
        <v>161</v>
      </c>
      <c r="Q14" s="22" t="s">
        <v>161</v>
      </c>
      <c r="R14" s="22" t="s">
        <v>161</v>
      </c>
      <c r="S14" s="22" t="s">
        <v>161</v>
      </c>
      <c r="T14" s="22" t="s">
        <v>161</v>
      </c>
      <c r="U14" s="22" t="s">
        <v>161</v>
      </c>
      <c r="V14" s="22" t="s">
        <v>161</v>
      </c>
      <c r="W14" s="22" t="s">
        <v>161</v>
      </c>
      <c r="X14" s="22" t="s">
        <v>161</v>
      </c>
      <c r="Y14" s="22" t="s">
        <v>161</v>
      </c>
      <c r="Z14" s="22" t="s">
        <v>161</v>
      </c>
      <c r="AA14" s="22" t="s">
        <v>161</v>
      </c>
      <c r="AB14" s="22" t="s">
        <v>161</v>
      </c>
      <c r="AC14" s="22">
        <v>0.25</v>
      </c>
      <c r="AD14" s="22" t="s">
        <v>161</v>
      </c>
      <c r="AE14" s="22" t="s">
        <v>161</v>
      </c>
      <c r="AF14" s="22">
        <v>0.25</v>
      </c>
      <c r="AG14" s="22" t="s">
        <v>161</v>
      </c>
      <c r="AH14" s="22" t="s">
        <v>161</v>
      </c>
      <c r="AI14" s="22" t="s">
        <v>161</v>
      </c>
      <c r="AJ14" s="22">
        <v>0.25</v>
      </c>
      <c r="AK14" s="22" t="s">
        <v>161</v>
      </c>
      <c r="AL14" s="22" t="s">
        <v>161</v>
      </c>
      <c r="AM14" s="22" t="s">
        <v>161</v>
      </c>
      <c r="AN14" s="22" t="s">
        <v>161</v>
      </c>
      <c r="AO14" s="22">
        <v>0.25</v>
      </c>
      <c r="AP14" s="22">
        <v>0.25</v>
      </c>
      <c r="AQ14" s="22" t="s">
        <v>161</v>
      </c>
      <c r="AR14" s="22">
        <v>0.25</v>
      </c>
    </row>
    <row r="15" spans="1:52">
      <c r="A15" s="22" t="s">
        <v>162</v>
      </c>
      <c r="B15" s="86">
        <v>43132</v>
      </c>
      <c r="C15" s="87">
        <v>43132</v>
      </c>
      <c r="D15" s="87" t="s">
        <v>161</v>
      </c>
      <c r="E15" s="22" t="s">
        <v>18</v>
      </c>
      <c r="F15" s="22" t="s">
        <v>88</v>
      </c>
      <c r="G15" s="22">
        <v>0.25</v>
      </c>
      <c r="H15" s="22" t="s">
        <v>161</v>
      </c>
      <c r="I15" s="22" t="s">
        <v>161</v>
      </c>
      <c r="J15" s="22" t="s">
        <v>161</v>
      </c>
      <c r="K15" s="22" t="s">
        <v>161</v>
      </c>
      <c r="L15" s="22" t="s">
        <v>161</v>
      </c>
      <c r="M15" s="22" t="s">
        <v>161</v>
      </c>
      <c r="N15" s="22" t="s">
        <v>161</v>
      </c>
      <c r="O15" s="22" t="s">
        <v>161</v>
      </c>
      <c r="P15" s="22" t="s">
        <v>161</v>
      </c>
      <c r="Q15" s="22" t="s">
        <v>161</v>
      </c>
      <c r="R15" s="22" t="s">
        <v>161</v>
      </c>
      <c r="S15" s="22" t="s">
        <v>161</v>
      </c>
      <c r="T15" s="22" t="s">
        <v>161</v>
      </c>
      <c r="U15" s="22">
        <v>0.25</v>
      </c>
      <c r="V15" s="22" t="s">
        <v>161</v>
      </c>
      <c r="W15" s="22" t="s">
        <v>161</v>
      </c>
      <c r="X15" s="22" t="s">
        <v>161</v>
      </c>
      <c r="Y15" s="22" t="s">
        <v>161</v>
      </c>
      <c r="Z15" s="22" t="s">
        <v>161</v>
      </c>
      <c r="AA15" s="22" t="s">
        <v>161</v>
      </c>
      <c r="AB15" s="22" t="s">
        <v>161</v>
      </c>
      <c r="AC15" s="22" t="s">
        <v>161</v>
      </c>
      <c r="AD15" s="22" t="s">
        <v>161</v>
      </c>
      <c r="AE15" s="22" t="s">
        <v>161</v>
      </c>
      <c r="AF15" s="22">
        <v>0.25</v>
      </c>
      <c r="AG15" s="22" t="s">
        <v>161</v>
      </c>
      <c r="AH15" s="22" t="s">
        <v>161</v>
      </c>
      <c r="AI15" s="22" t="s">
        <v>161</v>
      </c>
      <c r="AJ15" s="22" t="s">
        <v>161</v>
      </c>
      <c r="AK15" s="22" t="s">
        <v>161</v>
      </c>
      <c r="AL15" s="22">
        <v>0.25</v>
      </c>
      <c r="AM15" s="22" t="s">
        <v>161</v>
      </c>
      <c r="AN15" s="22" t="s">
        <v>161</v>
      </c>
      <c r="AO15" s="22" t="s">
        <v>161</v>
      </c>
      <c r="AP15" s="22" t="s">
        <v>161</v>
      </c>
      <c r="AQ15" s="22" t="s">
        <v>161</v>
      </c>
      <c r="AR15" s="22" t="s">
        <v>161</v>
      </c>
    </row>
    <row r="16" spans="1:52">
      <c r="A16" s="22" t="s">
        <v>162</v>
      </c>
      <c r="B16" s="86">
        <v>43132</v>
      </c>
      <c r="C16" s="87">
        <v>43132</v>
      </c>
      <c r="D16" s="87" t="s">
        <v>161</v>
      </c>
      <c r="E16" s="22" t="s">
        <v>18</v>
      </c>
      <c r="F16" s="22" t="s">
        <v>84</v>
      </c>
      <c r="G16" s="22" t="s">
        <v>161</v>
      </c>
      <c r="H16" s="22" t="s">
        <v>161</v>
      </c>
      <c r="I16" s="22" t="s">
        <v>161</v>
      </c>
      <c r="J16" s="22" t="s">
        <v>161</v>
      </c>
      <c r="K16" s="22" t="s">
        <v>161</v>
      </c>
      <c r="L16" s="22" t="s">
        <v>161</v>
      </c>
      <c r="M16" s="22" t="s">
        <v>161</v>
      </c>
      <c r="N16" s="22" t="s">
        <v>161</v>
      </c>
      <c r="O16" s="22" t="s">
        <v>161</v>
      </c>
      <c r="P16" s="22" t="s">
        <v>161</v>
      </c>
      <c r="Q16" s="22" t="s">
        <v>161</v>
      </c>
      <c r="R16" s="22" t="s">
        <v>161</v>
      </c>
      <c r="S16" s="22">
        <v>0.5</v>
      </c>
      <c r="T16" s="22" t="s">
        <v>161</v>
      </c>
      <c r="U16" s="22">
        <v>0.25</v>
      </c>
      <c r="V16" s="22" t="s">
        <v>161</v>
      </c>
      <c r="W16" s="22" t="s">
        <v>161</v>
      </c>
      <c r="X16" s="22" t="s">
        <v>161</v>
      </c>
      <c r="Y16" s="22">
        <v>0.5</v>
      </c>
      <c r="Z16" s="22" t="s">
        <v>161</v>
      </c>
      <c r="AA16" s="22" t="s">
        <v>161</v>
      </c>
      <c r="AB16" s="22" t="s">
        <v>161</v>
      </c>
      <c r="AC16" s="22" t="s">
        <v>161</v>
      </c>
      <c r="AD16" s="22" t="s">
        <v>161</v>
      </c>
      <c r="AE16" s="22" t="s">
        <v>161</v>
      </c>
      <c r="AF16" s="22">
        <v>1</v>
      </c>
      <c r="AG16" s="22" t="s">
        <v>161</v>
      </c>
      <c r="AH16" s="22" t="s">
        <v>161</v>
      </c>
      <c r="AI16" s="22" t="s">
        <v>161</v>
      </c>
      <c r="AJ16" s="22" t="s">
        <v>161</v>
      </c>
      <c r="AK16" s="22" t="s">
        <v>161</v>
      </c>
      <c r="AL16" s="22">
        <v>0.5</v>
      </c>
      <c r="AM16" s="22" t="s">
        <v>161</v>
      </c>
      <c r="AN16" s="22" t="s">
        <v>161</v>
      </c>
      <c r="AO16" s="22" t="s">
        <v>161</v>
      </c>
      <c r="AP16" s="22" t="s">
        <v>161</v>
      </c>
      <c r="AQ16" s="22" t="s">
        <v>161</v>
      </c>
      <c r="AR16" s="22" t="s">
        <v>161</v>
      </c>
    </row>
    <row r="17" spans="1:44">
      <c r="A17" s="22" t="s">
        <v>162</v>
      </c>
      <c r="B17" s="86">
        <v>43132</v>
      </c>
      <c r="C17" s="87">
        <v>43132</v>
      </c>
      <c r="D17" s="87" t="s">
        <v>161</v>
      </c>
      <c r="E17" s="22" t="s">
        <v>18</v>
      </c>
      <c r="F17" s="22" t="s">
        <v>63</v>
      </c>
      <c r="G17" s="22" t="s">
        <v>161</v>
      </c>
      <c r="H17" s="22" t="s">
        <v>161</v>
      </c>
      <c r="I17" s="22" t="s">
        <v>161</v>
      </c>
      <c r="J17" s="22">
        <v>0.5</v>
      </c>
      <c r="K17" s="22" t="s">
        <v>161</v>
      </c>
      <c r="L17" s="22" t="s">
        <v>161</v>
      </c>
      <c r="M17" s="22" t="s">
        <v>161</v>
      </c>
      <c r="N17" s="22" t="s">
        <v>161</v>
      </c>
      <c r="O17" s="22" t="s">
        <v>161</v>
      </c>
      <c r="P17" s="22" t="s">
        <v>161</v>
      </c>
      <c r="Q17" s="22">
        <v>0.5</v>
      </c>
      <c r="R17" s="22" t="s">
        <v>161</v>
      </c>
      <c r="S17" s="22" t="s">
        <v>161</v>
      </c>
      <c r="T17" s="22" t="s">
        <v>161</v>
      </c>
      <c r="U17" s="22" t="s">
        <v>161</v>
      </c>
      <c r="V17" s="22" t="s">
        <v>161</v>
      </c>
      <c r="W17" s="22" t="s">
        <v>161</v>
      </c>
      <c r="X17" s="22" t="s">
        <v>161</v>
      </c>
      <c r="Y17" s="22">
        <v>0.5</v>
      </c>
      <c r="Z17" s="22" t="s">
        <v>161</v>
      </c>
      <c r="AA17" s="22" t="s">
        <v>161</v>
      </c>
      <c r="AB17" s="22" t="s">
        <v>161</v>
      </c>
      <c r="AC17" s="22">
        <v>0.5</v>
      </c>
      <c r="AD17" s="22" t="s">
        <v>161</v>
      </c>
      <c r="AE17" s="22" t="s">
        <v>161</v>
      </c>
      <c r="AF17" s="22">
        <v>0.5</v>
      </c>
      <c r="AG17" s="22" t="s">
        <v>161</v>
      </c>
      <c r="AH17" s="22" t="s">
        <v>161</v>
      </c>
      <c r="AI17" s="22" t="s">
        <v>161</v>
      </c>
      <c r="AJ17" s="22">
        <v>0.5</v>
      </c>
      <c r="AK17" s="22" t="s">
        <v>161</v>
      </c>
      <c r="AL17" s="22" t="s">
        <v>161</v>
      </c>
      <c r="AM17" s="22" t="s">
        <v>161</v>
      </c>
      <c r="AN17" s="22" t="s">
        <v>161</v>
      </c>
      <c r="AO17" s="22">
        <v>0.5</v>
      </c>
      <c r="AP17" s="22">
        <v>0.5</v>
      </c>
      <c r="AQ17" s="22" t="s">
        <v>161</v>
      </c>
      <c r="AR17" s="22">
        <v>0.5</v>
      </c>
    </row>
    <row r="18" spans="1:44">
      <c r="A18" s="22" t="s">
        <v>162</v>
      </c>
      <c r="B18" s="86">
        <v>43132</v>
      </c>
      <c r="C18" s="87">
        <v>43132</v>
      </c>
      <c r="D18" s="87" t="s">
        <v>161</v>
      </c>
      <c r="E18" s="22" t="s">
        <v>19</v>
      </c>
      <c r="F18" s="22" t="s">
        <v>19</v>
      </c>
      <c r="G18" s="22" t="s">
        <v>161</v>
      </c>
      <c r="H18" s="22" t="s">
        <v>161</v>
      </c>
      <c r="I18" s="22" t="s">
        <v>161</v>
      </c>
      <c r="J18" s="22" t="s">
        <v>161</v>
      </c>
      <c r="K18" s="22" t="s">
        <v>161</v>
      </c>
      <c r="L18" s="22" t="s">
        <v>161</v>
      </c>
      <c r="M18" s="22" t="s">
        <v>161</v>
      </c>
      <c r="N18" s="22" t="s">
        <v>161</v>
      </c>
      <c r="O18" s="22" t="s">
        <v>161</v>
      </c>
      <c r="P18" s="22" t="s">
        <v>161</v>
      </c>
      <c r="Q18" s="22" t="s">
        <v>161</v>
      </c>
      <c r="R18" s="22" t="s">
        <v>161</v>
      </c>
      <c r="S18" s="22" t="s">
        <v>161</v>
      </c>
      <c r="T18" s="22" t="s">
        <v>161</v>
      </c>
      <c r="U18" s="22" t="s">
        <v>161</v>
      </c>
      <c r="V18" s="22" t="s">
        <v>161</v>
      </c>
      <c r="W18" s="22" t="s">
        <v>161</v>
      </c>
      <c r="X18" s="22" t="s">
        <v>161</v>
      </c>
      <c r="Y18" s="22">
        <v>0.5</v>
      </c>
      <c r="Z18" s="22" t="s">
        <v>161</v>
      </c>
      <c r="AA18" s="22" t="s">
        <v>161</v>
      </c>
      <c r="AB18" s="22" t="s">
        <v>161</v>
      </c>
      <c r="AC18" s="22" t="s">
        <v>161</v>
      </c>
      <c r="AD18" s="22" t="s">
        <v>161</v>
      </c>
      <c r="AE18" s="22" t="s">
        <v>161</v>
      </c>
      <c r="AF18" s="22" t="s">
        <v>161</v>
      </c>
      <c r="AG18" s="22" t="s">
        <v>161</v>
      </c>
      <c r="AH18" s="22" t="s">
        <v>161</v>
      </c>
      <c r="AI18" s="22" t="s">
        <v>161</v>
      </c>
      <c r="AJ18" s="22" t="s">
        <v>161</v>
      </c>
      <c r="AK18" s="22" t="s">
        <v>161</v>
      </c>
      <c r="AL18" s="22" t="s">
        <v>161</v>
      </c>
      <c r="AM18" s="22" t="s">
        <v>161</v>
      </c>
      <c r="AN18" s="22" t="s">
        <v>161</v>
      </c>
      <c r="AO18" s="22" t="s">
        <v>161</v>
      </c>
      <c r="AP18" s="22">
        <v>0.75</v>
      </c>
      <c r="AQ18" s="22" t="s">
        <v>161</v>
      </c>
      <c r="AR18" s="22" t="s">
        <v>161</v>
      </c>
    </row>
    <row r="19" spans="1:44">
      <c r="A19" s="22" t="s">
        <v>162</v>
      </c>
      <c r="B19" s="86">
        <v>43132</v>
      </c>
      <c r="C19" s="87">
        <v>43132</v>
      </c>
      <c r="D19" s="87" t="s">
        <v>161</v>
      </c>
      <c r="E19" s="22" t="s">
        <v>19</v>
      </c>
      <c r="F19" s="22" t="s">
        <v>160</v>
      </c>
      <c r="G19" s="22" t="s">
        <v>161</v>
      </c>
      <c r="H19" s="22" t="s">
        <v>161</v>
      </c>
      <c r="I19" s="22" t="s">
        <v>161</v>
      </c>
      <c r="J19" s="22">
        <v>0.25</v>
      </c>
      <c r="K19" s="22" t="s">
        <v>161</v>
      </c>
      <c r="L19" s="22" t="s">
        <v>161</v>
      </c>
      <c r="M19" s="22" t="s">
        <v>161</v>
      </c>
      <c r="N19" s="22" t="s">
        <v>161</v>
      </c>
      <c r="O19" s="22" t="s">
        <v>161</v>
      </c>
      <c r="P19" s="22" t="s">
        <v>161</v>
      </c>
      <c r="Q19" s="22" t="s">
        <v>161</v>
      </c>
      <c r="R19" s="22" t="s">
        <v>161</v>
      </c>
      <c r="S19" s="22" t="s">
        <v>161</v>
      </c>
      <c r="T19" s="22" t="s">
        <v>161</v>
      </c>
      <c r="U19" s="22">
        <v>0.25</v>
      </c>
      <c r="V19" s="22" t="s">
        <v>161</v>
      </c>
      <c r="W19" s="22" t="s">
        <v>161</v>
      </c>
      <c r="X19" s="22" t="s">
        <v>161</v>
      </c>
      <c r="Y19" s="22" t="s">
        <v>161</v>
      </c>
      <c r="Z19" s="22" t="s">
        <v>161</v>
      </c>
      <c r="AA19" s="22" t="s">
        <v>161</v>
      </c>
      <c r="AB19" s="22" t="s">
        <v>161</v>
      </c>
      <c r="AC19" s="22">
        <v>0.25</v>
      </c>
      <c r="AD19" s="22" t="s">
        <v>161</v>
      </c>
      <c r="AE19" s="22" t="s">
        <v>161</v>
      </c>
      <c r="AF19" s="22" t="s">
        <v>161</v>
      </c>
      <c r="AG19" s="22" t="s">
        <v>161</v>
      </c>
      <c r="AH19" s="22" t="s">
        <v>161</v>
      </c>
      <c r="AI19" s="22" t="s">
        <v>161</v>
      </c>
      <c r="AJ19" s="22" t="s">
        <v>161</v>
      </c>
      <c r="AK19" s="22" t="s">
        <v>161</v>
      </c>
      <c r="AL19" s="22">
        <v>0.25</v>
      </c>
      <c r="AM19" s="22" t="s">
        <v>161</v>
      </c>
      <c r="AN19" s="22" t="s">
        <v>161</v>
      </c>
      <c r="AO19" s="22" t="s">
        <v>161</v>
      </c>
      <c r="AP19" s="22" t="s">
        <v>161</v>
      </c>
      <c r="AQ19" s="22" t="s">
        <v>161</v>
      </c>
      <c r="AR19" s="22" t="s">
        <v>161</v>
      </c>
    </row>
    <row r="20" spans="1:44">
      <c r="A20" s="22" t="s">
        <v>162</v>
      </c>
      <c r="B20" s="86">
        <v>43132</v>
      </c>
      <c r="C20" s="87">
        <v>43132</v>
      </c>
      <c r="D20" s="87" t="s">
        <v>161</v>
      </c>
      <c r="E20" s="22" t="s">
        <v>19</v>
      </c>
      <c r="F20" s="22" t="s">
        <v>159</v>
      </c>
      <c r="G20" s="22">
        <v>0.25</v>
      </c>
      <c r="H20" s="22" t="s">
        <v>161</v>
      </c>
      <c r="I20" s="22" t="s">
        <v>161</v>
      </c>
      <c r="J20" s="22" t="s">
        <v>161</v>
      </c>
      <c r="K20" s="22" t="s">
        <v>161</v>
      </c>
      <c r="L20" s="22" t="s">
        <v>161</v>
      </c>
      <c r="M20" s="22" t="s">
        <v>161</v>
      </c>
      <c r="N20" s="22" t="s">
        <v>161</v>
      </c>
      <c r="O20" s="22" t="s">
        <v>161</v>
      </c>
      <c r="P20" s="22">
        <v>0.01</v>
      </c>
      <c r="Q20" s="22" t="s">
        <v>161</v>
      </c>
      <c r="R20" s="22" t="s">
        <v>161</v>
      </c>
      <c r="S20" s="22">
        <v>0.5</v>
      </c>
      <c r="T20" s="22" t="s">
        <v>161</v>
      </c>
      <c r="U20" s="22" t="s">
        <v>161</v>
      </c>
      <c r="V20" s="22" t="s">
        <v>161</v>
      </c>
      <c r="W20" s="22" t="s">
        <v>161</v>
      </c>
      <c r="X20" s="22" t="s">
        <v>161</v>
      </c>
      <c r="Y20" s="22">
        <v>1</v>
      </c>
      <c r="Z20" s="22" t="s">
        <v>161</v>
      </c>
      <c r="AA20" s="22" t="s">
        <v>161</v>
      </c>
      <c r="AB20" s="22" t="s">
        <v>161</v>
      </c>
      <c r="AC20" s="22">
        <v>0.5</v>
      </c>
      <c r="AD20" s="22" t="s">
        <v>161</v>
      </c>
      <c r="AE20" s="22">
        <v>0.25</v>
      </c>
      <c r="AF20" s="22">
        <v>1</v>
      </c>
      <c r="AG20" s="22">
        <v>0.5</v>
      </c>
      <c r="AH20" s="22" t="s">
        <v>161</v>
      </c>
      <c r="AI20" s="22" t="s">
        <v>161</v>
      </c>
      <c r="AJ20" s="22">
        <v>0.5</v>
      </c>
      <c r="AK20" s="22" t="s">
        <v>161</v>
      </c>
      <c r="AL20" s="22">
        <v>1</v>
      </c>
      <c r="AM20" s="22" t="s">
        <v>161</v>
      </c>
      <c r="AN20" s="22" t="s">
        <v>161</v>
      </c>
      <c r="AO20" s="22">
        <v>0.5</v>
      </c>
      <c r="AP20" s="22" t="s">
        <v>161</v>
      </c>
      <c r="AQ20" s="22" t="s">
        <v>161</v>
      </c>
      <c r="AR20" s="22" t="s">
        <v>161</v>
      </c>
    </row>
    <row r="21" spans="1:44">
      <c r="A21" s="22" t="s">
        <v>162</v>
      </c>
      <c r="B21" s="86">
        <v>43132</v>
      </c>
      <c r="C21" s="87">
        <v>43139</v>
      </c>
      <c r="D21" s="87" t="s">
        <v>161</v>
      </c>
      <c r="E21" s="22" t="s">
        <v>18</v>
      </c>
      <c r="F21" s="22" t="s">
        <v>66</v>
      </c>
      <c r="G21" s="22" t="s">
        <v>161</v>
      </c>
      <c r="H21" s="22" t="s">
        <v>161</v>
      </c>
      <c r="I21" s="22" t="s">
        <v>161</v>
      </c>
      <c r="J21" s="22" t="s">
        <v>161</v>
      </c>
      <c r="K21" s="22" t="s">
        <v>161</v>
      </c>
      <c r="L21" s="22" t="s">
        <v>161</v>
      </c>
      <c r="M21" s="22" t="s">
        <v>161</v>
      </c>
      <c r="N21" s="22" t="s">
        <v>161</v>
      </c>
      <c r="O21" s="22" t="s">
        <v>161</v>
      </c>
      <c r="P21" s="22" t="s">
        <v>161</v>
      </c>
      <c r="Q21" s="22" t="s">
        <v>161</v>
      </c>
      <c r="R21" s="22" t="s">
        <v>161</v>
      </c>
      <c r="S21" s="22" t="s">
        <v>161</v>
      </c>
      <c r="T21" s="22" t="s">
        <v>161</v>
      </c>
      <c r="U21" s="22">
        <v>0.5</v>
      </c>
      <c r="V21" s="22" t="s">
        <v>161</v>
      </c>
      <c r="W21" s="22" t="s">
        <v>161</v>
      </c>
      <c r="X21" s="22" t="s">
        <v>161</v>
      </c>
      <c r="Y21" s="22" t="s">
        <v>161</v>
      </c>
      <c r="Z21" s="22" t="s">
        <v>161</v>
      </c>
      <c r="AA21" s="22" t="s">
        <v>161</v>
      </c>
      <c r="AB21" s="22" t="s">
        <v>161</v>
      </c>
      <c r="AC21" s="22">
        <v>0.5</v>
      </c>
      <c r="AD21" s="22" t="s">
        <v>161</v>
      </c>
      <c r="AE21" s="22" t="s">
        <v>161</v>
      </c>
      <c r="AF21" s="22">
        <v>0.5</v>
      </c>
      <c r="AG21" s="22" t="s">
        <v>161</v>
      </c>
      <c r="AH21" s="22" t="s">
        <v>161</v>
      </c>
      <c r="AI21" s="22" t="s">
        <v>161</v>
      </c>
      <c r="AJ21" s="22" t="s">
        <v>161</v>
      </c>
      <c r="AK21" s="22" t="s">
        <v>161</v>
      </c>
      <c r="AL21" s="22" t="s">
        <v>161</v>
      </c>
      <c r="AM21" s="22" t="s">
        <v>161</v>
      </c>
      <c r="AN21" s="22" t="s">
        <v>161</v>
      </c>
      <c r="AO21" s="22" t="s">
        <v>161</v>
      </c>
      <c r="AP21" s="22" t="s">
        <v>161</v>
      </c>
      <c r="AQ21" s="22" t="s">
        <v>161</v>
      </c>
      <c r="AR21" s="22">
        <v>0.25</v>
      </c>
    </row>
  </sheetData>
  <conditionalFormatting sqref="A1:AZ1048576">
    <cfRule type="expression" dxfId="3" priority="2">
      <formula>$A1&lt;&gt;""</formula>
    </cfRule>
  </conditionalFormatting>
  <conditionalFormatting sqref="AS1:AZ1048576">
    <cfRule type="containsBlanks" dxfId="2" priority="1">
      <formula>LEN(TRIM(AS1))=0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8"/>
  <dimension ref="B1:DQ37"/>
  <sheetViews>
    <sheetView showGridLines="0" workbookViewId="0">
      <selection activeCell="C11" sqref="C11"/>
    </sheetView>
  </sheetViews>
  <sheetFormatPr defaultRowHeight="13.5"/>
  <cols>
    <col min="1" max="1" width="9.140625" style="16"/>
    <col min="2" max="3" width="25.7109375" style="16" customWidth="1"/>
    <col min="4" max="5" width="28.42578125" style="16" bestFit="1" customWidth="1"/>
    <col min="6" max="6" width="27.7109375" style="16" bestFit="1" customWidth="1"/>
    <col min="7" max="7" width="13.140625" style="155" bestFit="1" customWidth="1"/>
    <col min="8" max="8" width="13.85546875" style="155" bestFit="1" customWidth="1"/>
    <col min="9" max="9" width="11.85546875" style="155" bestFit="1" customWidth="1"/>
    <col min="10" max="10" width="12.7109375" style="155" bestFit="1" customWidth="1"/>
    <col min="11" max="11" width="6.42578125" style="155" bestFit="1" customWidth="1"/>
    <col min="12" max="12" width="12.7109375" style="155" bestFit="1" customWidth="1"/>
    <col min="13" max="13" width="6.28515625" style="155" bestFit="1" customWidth="1"/>
    <col min="14" max="14" width="16.7109375" style="155" bestFit="1" customWidth="1"/>
    <col min="15" max="15" width="17.7109375" style="155" bestFit="1" customWidth="1"/>
    <col min="16" max="16" width="10.85546875" style="155" bestFit="1" customWidth="1"/>
    <col min="17" max="17" width="14.140625" style="155" bestFit="1" customWidth="1"/>
    <col min="18" max="18" width="12.140625" style="155" bestFit="1" customWidth="1"/>
    <col min="19" max="19" width="7.28515625" style="155" bestFit="1" customWidth="1"/>
    <col min="20" max="20" width="10.5703125" style="155" bestFit="1" customWidth="1"/>
    <col min="21" max="21" width="12" style="155" bestFit="1" customWidth="1"/>
    <col min="22" max="22" width="11.85546875" style="155" bestFit="1" customWidth="1"/>
    <col min="23" max="23" width="12.85546875" style="155" bestFit="1" customWidth="1"/>
    <col min="24" max="24" width="13.42578125" style="155" bestFit="1" customWidth="1"/>
    <col min="25" max="25" width="15" style="155" bestFit="1" customWidth="1"/>
    <col min="26" max="26" width="9" style="155" bestFit="1" customWidth="1"/>
    <col min="27" max="27" width="6.42578125" style="155" bestFit="1" customWidth="1"/>
    <col min="28" max="28" width="7.5703125" style="155" bestFit="1" customWidth="1"/>
    <col min="29" max="29" width="7.28515625" style="155" bestFit="1" customWidth="1"/>
    <col min="30" max="31" width="6.28515625" style="155" bestFit="1" customWidth="1"/>
    <col min="32" max="32" width="10.28515625" style="155" bestFit="1" customWidth="1"/>
    <col min="33" max="34" width="8.7109375" style="155" bestFit="1" customWidth="1"/>
    <col min="35" max="35" width="12.85546875" style="155" bestFit="1" customWidth="1"/>
    <col min="36" max="36" width="7.28515625" style="155" bestFit="1" customWidth="1"/>
    <col min="37" max="37" width="7.140625" style="155" bestFit="1" customWidth="1"/>
    <col min="38" max="38" width="12" style="155" bestFit="1" customWidth="1"/>
    <col min="39" max="39" width="12.85546875" style="155" bestFit="1" customWidth="1"/>
    <col min="40" max="40" width="6.5703125" style="155" bestFit="1" customWidth="1"/>
    <col min="41" max="42" width="7.28515625" style="155" bestFit="1" customWidth="1"/>
    <col min="43" max="43" width="6.28515625" style="155" bestFit="1" customWidth="1"/>
    <col min="44" max="44" width="7.28515625" style="155" bestFit="1" customWidth="1"/>
    <col min="45" max="52" width="9.7109375" style="155" customWidth="1"/>
    <col min="53" max="78" width="9.140625" style="16"/>
    <col min="79" max="102" width="9.140625" style="156"/>
    <col min="103" max="16384" width="9.140625" style="16"/>
  </cols>
  <sheetData>
    <row r="1" spans="2:121" s="148" customFormat="1" ht="16.5" customHeight="1"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149"/>
      <c r="U1" s="149"/>
      <c r="V1" s="149"/>
      <c r="W1" s="149"/>
      <c r="X1" s="149"/>
      <c r="Y1" s="149"/>
      <c r="Z1" s="149"/>
      <c r="AA1" s="149"/>
      <c r="AB1" s="149"/>
      <c r="AC1" s="149"/>
      <c r="AD1" s="149"/>
      <c r="AE1" s="149"/>
      <c r="AF1" s="149"/>
      <c r="AG1" s="149"/>
      <c r="AH1" s="149"/>
      <c r="AI1" s="149"/>
      <c r="AJ1" s="149"/>
      <c r="AK1" s="149"/>
      <c r="AL1" s="149"/>
      <c r="AM1" s="149"/>
      <c r="AN1" s="149"/>
      <c r="AO1" s="149"/>
      <c r="AP1" s="149"/>
      <c r="AQ1" s="149"/>
      <c r="AR1" s="149"/>
      <c r="AS1" s="149"/>
      <c r="AT1" s="149"/>
      <c r="AU1" s="149"/>
      <c r="AV1" s="149"/>
      <c r="AW1" s="149"/>
      <c r="AX1" s="149"/>
      <c r="AY1" s="149"/>
      <c r="AZ1" s="149"/>
      <c r="BY1" s="150"/>
      <c r="CA1" s="151"/>
      <c r="CB1" s="152"/>
      <c r="CC1" s="152"/>
      <c r="CD1" s="153"/>
      <c r="CE1" s="153"/>
      <c r="CF1" s="153"/>
      <c r="CG1" s="153"/>
      <c r="CH1" s="153"/>
      <c r="CI1" s="153"/>
      <c r="CJ1" s="153"/>
      <c r="CK1" s="153"/>
      <c r="CL1" s="153"/>
      <c r="CM1" s="153"/>
      <c r="CN1" s="153"/>
      <c r="CO1" s="153"/>
      <c r="CP1" s="153"/>
      <c r="CQ1" s="153"/>
      <c r="CR1" s="153"/>
      <c r="CS1" s="153"/>
      <c r="CT1" s="153"/>
      <c r="CU1" s="153"/>
      <c r="CV1" s="153"/>
      <c r="CW1" s="153"/>
      <c r="CX1" s="153"/>
      <c r="CY1" s="154"/>
      <c r="CZ1" s="154"/>
      <c r="DA1" s="154"/>
      <c r="DB1" s="154"/>
      <c r="DC1" s="154"/>
      <c r="DD1" s="154"/>
      <c r="DE1" s="154"/>
      <c r="DF1" s="154"/>
      <c r="DG1" s="154"/>
      <c r="DH1" s="154"/>
      <c r="DI1" s="154"/>
      <c r="DJ1" s="154"/>
      <c r="DK1" s="154"/>
      <c r="DL1" s="154"/>
      <c r="DM1" s="154"/>
      <c r="DN1" s="154"/>
      <c r="DO1" s="154"/>
      <c r="DP1" s="154"/>
      <c r="DQ1" s="154"/>
    </row>
    <row r="2" spans="2:121" s="81" customFormat="1" ht="16.5" customHeight="1">
      <c r="B2" s="133" t="s">
        <v>163</v>
      </c>
      <c r="C2" s="85"/>
      <c r="D2" s="85"/>
      <c r="E2" s="85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  <c r="AE2" s="130"/>
      <c r="AF2" s="130"/>
      <c r="AG2" s="130"/>
      <c r="AH2" s="130"/>
      <c r="AI2" s="130"/>
      <c r="AJ2" s="130"/>
      <c r="AK2" s="130"/>
      <c r="AL2" s="130"/>
      <c r="AM2" s="130"/>
      <c r="AN2" s="130"/>
      <c r="AO2" s="130"/>
      <c r="AP2" s="130"/>
      <c r="AQ2" s="130"/>
      <c r="AR2" s="130"/>
      <c r="AS2" s="130"/>
      <c r="AT2" s="130"/>
      <c r="AU2" s="130"/>
      <c r="AV2" s="130"/>
      <c r="AW2" s="130"/>
      <c r="AX2" s="130"/>
      <c r="AY2" s="130" t="str">
        <f>IFERROR(IF(AY1="","",INDEX('Data Stok'!$D$1:$AO$3,MATCH(InputPemesanan!$C$6,'Data Stok'!$C:$C),MATCH(InputPemesanan!AZ1,'Data Stok'!$D$1:$AO$1,0))),"")</f>
        <v/>
      </c>
      <c r="AZ2" s="130"/>
      <c r="BA2" s="81" t="str">
        <f>IF(BA$9="","",IF(AND($B$4="",$C$4=""),SUM('Data Stok'!AX$2:AX$10000),IF(AND(LihatPemesanan!$B$4&lt;&gt;"",LihatPemesanan!$C$4=""),SUMIFS('Data Stok'!AX$2:AX$10000,'Data Stok'!$B$2:$B$10000,LihatPemesanan!$B$4),IF(OR($B$4="",$C$4&lt;&gt;""),SUMIFS('Data Stok'!AX$2:AX$10000,'Data Stok'!$C$2:$C$10000,LihatPemesanan!$C$4),""))))</f>
        <v/>
      </c>
      <c r="BB2" s="81" t="str">
        <f>IF(BB$9="","",IF(AND($B$4="",$C$4=""),SUM('Data Stok'!AY$2:AY$10000),IF(AND(LihatPemesanan!$B$4&lt;&gt;"",LihatPemesanan!$C$4=""),SUMIFS('Data Stok'!AY$2:AY$10000,'Data Stok'!$B$2:$B$10000,LihatPemesanan!$B$4),IF(OR($B$4="",$C$4&lt;&gt;""),SUMIFS('Data Stok'!AY$2:AY$10000,'Data Stok'!$C$2:$C$10000,LihatPemesanan!$C$4),""))))</f>
        <v/>
      </c>
      <c r="BC2" s="81" t="str">
        <f>IF(BC$9="","",IF(AND($B$4="",$C$4=""),SUM('Data Stok'!AZ$2:AZ$10000),IF(AND(LihatPemesanan!$B$4&lt;&gt;"",LihatPemesanan!$C$4=""),SUMIFS('Data Stok'!AZ$2:AZ$10000,'Data Stok'!$B$2:$B$10000,LihatPemesanan!$B$4),IF(OR($B$4="",$C$4&lt;&gt;""),SUMIFS('Data Stok'!AZ$2:AZ$10000,'Data Stok'!$C$2:$C$10000,LihatPemesanan!$C$4),""))))</f>
        <v/>
      </c>
      <c r="BD2" s="81" t="str">
        <f>IF(BD$9="","",IF(AND($B$4="",$C$4=""),SUM('Data Stok'!BA$2:BA$10000),IF(AND(LihatPemesanan!$B$4&lt;&gt;"",LihatPemesanan!$C$4=""),SUMIFS('Data Stok'!BA$2:BA$10000,'Data Stok'!$B$2:$B$10000,LihatPemesanan!$B$4),IF(OR($B$4="",$C$4&lt;&gt;""),SUMIFS('Data Stok'!BA$2:BA$10000,'Data Stok'!$C$2:$C$10000,LihatPemesanan!$C$4),""))))</f>
        <v/>
      </c>
      <c r="BE2" s="81" t="str">
        <f>IF(BE$9="","",IF(AND($B$4="",$C$4=""),SUM('Data Stok'!BB$2:BB$10000),IF(AND(LihatPemesanan!$B$4&lt;&gt;"",LihatPemesanan!$C$4=""),SUMIFS('Data Stok'!BB$2:BB$10000,'Data Stok'!$B$2:$B$10000,LihatPemesanan!$B$4),IF(OR($B$4="",$C$4&lt;&gt;""),SUMIFS('Data Stok'!BB$2:BB$10000,'Data Stok'!$C$2:$C$10000,LihatPemesanan!$C$4),""))))</f>
        <v/>
      </c>
      <c r="BF2" s="81" t="str">
        <f>IF(BF$9="","",IF(AND($B$4="",$C$4=""),SUM('Data Stok'!BC$2:BC$10000),IF(AND(LihatPemesanan!$B$4&lt;&gt;"",LihatPemesanan!$C$4=""),SUMIFS('Data Stok'!BC$2:BC$10000,'Data Stok'!$B$2:$B$10000,LihatPemesanan!$B$4),IF(OR($B$4="",$C$4&lt;&gt;""),SUMIFS('Data Stok'!BC$2:BC$10000,'Data Stok'!$C$2:$C$10000,LihatPemesanan!$C$4),""))))</f>
        <v/>
      </c>
      <c r="BG2" s="81" t="str">
        <f>IF(BG$9="","",IF(AND($B$4="",$C$4=""),SUM('Data Stok'!BD$2:BD$10000),IF(AND(LihatPemesanan!$B$4&lt;&gt;"",LihatPemesanan!$C$4=""),SUMIFS('Data Stok'!BD$2:BD$10000,'Data Stok'!$B$2:$B$10000,LihatPemesanan!$B$4),IF(OR($B$4="",$C$4&lt;&gt;""),SUMIFS('Data Stok'!BD$2:BD$10000,'Data Stok'!$C$2:$C$10000,LihatPemesanan!$C$4),""))))</f>
        <v/>
      </c>
      <c r="CA2" s="129"/>
      <c r="CB2" s="129"/>
      <c r="CC2" s="129"/>
      <c r="CD2" s="129"/>
      <c r="CE2" s="129"/>
      <c r="CF2" s="129"/>
      <c r="CG2" s="129"/>
      <c r="CH2" s="129"/>
      <c r="CI2" s="129"/>
      <c r="CJ2" s="129"/>
      <c r="CK2" s="129"/>
      <c r="CL2" s="129"/>
      <c r="CM2" s="129"/>
      <c r="CN2" s="129"/>
      <c r="CO2" s="129"/>
      <c r="CP2" s="129"/>
      <c r="CQ2" s="129"/>
      <c r="CR2" s="129"/>
      <c r="CS2" s="129"/>
      <c r="CT2" s="129"/>
      <c r="CU2" s="129"/>
      <c r="CV2" s="129"/>
      <c r="CW2" s="129"/>
      <c r="CX2" s="129"/>
    </row>
    <row r="3" spans="2:121" s="81" customFormat="1" ht="14.25">
      <c r="B3" s="92" t="s">
        <v>107</v>
      </c>
      <c r="C3" s="94" t="s">
        <v>108</v>
      </c>
      <c r="D3" s="89" t="s">
        <v>22</v>
      </c>
      <c r="E3" s="89" t="s">
        <v>25</v>
      </c>
      <c r="G3" s="130"/>
      <c r="H3" s="130"/>
      <c r="I3" s="130"/>
      <c r="J3" s="130"/>
      <c r="K3" s="130"/>
      <c r="L3" s="130"/>
      <c r="M3" s="130"/>
      <c r="N3" s="130"/>
      <c r="O3" s="130"/>
      <c r="P3" s="130"/>
      <c r="Q3" s="130"/>
      <c r="R3" s="130"/>
      <c r="S3" s="130"/>
      <c r="T3" s="130"/>
      <c r="U3" s="130"/>
      <c r="V3" s="130"/>
      <c r="W3" s="130"/>
      <c r="X3" s="130"/>
      <c r="Y3" s="130"/>
      <c r="Z3" s="130"/>
      <c r="AA3" s="130"/>
      <c r="AB3" s="130"/>
      <c r="AC3" s="130"/>
      <c r="AD3" s="130"/>
      <c r="AE3" s="130"/>
      <c r="AF3" s="130"/>
      <c r="AG3" s="130"/>
      <c r="AH3" s="130"/>
      <c r="AI3" s="130"/>
      <c r="AJ3" s="130"/>
      <c r="AK3" s="130"/>
      <c r="AL3" s="130"/>
      <c r="AM3" s="130"/>
      <c r="AN3" s="130"/>
      <c r="AO3" s="130"/>
      <c r="AP3" s="130"/>
      <c r="AQ3" s="130"/>
      <c r="AR3" s="130"/>
      <c r="AS3" s="130"/>
      <c r="AT3" s="130"/>
      <c r="AU3" s="130"/>
      <c r="AV3" s="130"/>
      <c r="AW3" s="130"/>
      <c r="AX3" s="130"/>
      <c r="AY3" s="130"/>
      <c r="AZ3" s="130"/>
      <c r="BA3" s="81" t="str">
        <f>IF(BA$9="","",IF(AND($B$4="",$C$4=""),SUM('Data Stok'!AX$2:AX$10000),IF(AND(LihatPemesanan!$B$4&lt;&gt;"",LihatPemesanan!$C$4=""),SUMIFS('Data Stok'!AX$2:AX$10000,'Data Stok'!$B$2:$B$10000,LihatPemesanan!$B$4),IF(OR($B$4="",$C$4&lt;&gt;""),SUMIFS('Data Stok'!AX$2:AX$10000,'Data Stok'!$C$2:$C$10000,LihatPemesanan!$C$4),""))))</f>
        <v/>
      </c>
      <c r="BB3" s="81" t="str">
        <f>IF(BB$9="","",IF(AND($B$4="",$C$4=""),SUM('Data Stok'!AY$2:AY$10000),IF(AND(LihatPemesanan!$B$4&lt;&gt;"",LihatPemesanan!$C$4=""),SUMIFS('Data Stok'!AY$2:AY$10000,'Data Stok'!$B$2:$B$10000,LihatPemesanan!$B$4),IF(OR($B$4="",$C$4&lt;&gt;""),SUMIFS('Data Stok'!AY$2:AY$10000,'Data Stok'!$C$2:$C$10000,LihatPemesanan!$C$4),""))))</f>
        <v/>
      </c>
      <c r="BC3" s="81" t="str">
        <f>IF(BC$9="","",IF(AND($B$4="",$C$4=""),SUM('Data Stok'!AZ$2:AZ$10000),IF(AND(LihatPemesanan!$B$4&lt;&gt;"",LihatPemesanan!$C$4=""),SUMIFS('Data Stok'!AZ$2:AZ$10000,'Data Stok'!$B$2:$B$10000,LihatPemesanan!$B$4),IF(OR($B$4="",$C$4&lt;&gt;""),SUMIFS('Data Stok'!AZ$2:AZ$10000,'Data Stok'!$C$2:$C$10000,LihatPemesanan!$C$4),""))))</f>
        <v/>
      </c>
      <c r="BD3" s="81" t="str">
        <f>IF(BD$9="","",IF(AND($B$4="",$C$4=""),SUM('Data Stok'!BA$2:BA$10000),IF(AND(LihatPemesanan!$B$4&lt;&gt;"",LihatPemesanan!$C$4=""),SUMIFS('Data Stok'!BA$2:BA$10000,'Data Stok'!$B$2:$B$10000,LihatPemesanan!$B$4),IF(OR($B$4="",$C$4&lt;&gt;""),SUMIFS('Data Stok'!BA$2:BA$10000,'Data Stok'!$C$2:$C$10000,LihatPemesanan!$C$4),""))))</f>
        <v/>
      </c>
      <c r="BE3" s="81" t="str">
        <f>IF(BE$9="","",IF(AND($B$4="",$C$4=""),SUM('Data Stok'!BB$2:BB$10000),IF(AND(LihatPemesanan!$B$4&lt;&gt;"",LihatPemesanan!$C$4=""),SUMIFS('Data Stok'!BB$2:BB$10000,'Data Stok'!$B$2:$B$10000,LihatPemesanan!$B$4),IF(OR($B$4="",$C$4&lt;&gt;""),SUMIFS('Data Stok'!BB$2:BB$10000,'Data Stok'!$C$2:$C$10000,LihatPemesanan!$C$4),""))))</f>
        <v/>
      </c>
      <c r="BF3" s="81" t="str">
        <f>IF(BF$9="","",IF(AND($B$4="",$C$4=""),SUM('Data Stok'!BC$2:BC$10000),IF(AND(LihatPemesanan!$B$4&lt;&gt;"",LihatPemesanan!$C$4=""),SUMIFS('Data Stok'!BC$2:BC$10000,'Data Stok'!$B$2:$B$10000,LihatPemesanan!$B$4),IF(OR($B$4="",$C$4&lt;&gt;""),SUMIFS('Data Stok'!BC$2:BC$10000,'Data Stok'!$C$2:$C$10000,LihatPemesanan!$C$4),""))))</f>
        <v/>
      </c>
      <c r="BG3" s="81" t="str">
        <f>IF(BG$9="","",IF(AND($B$4="",$C$4=""),SUM('Data Stok'!BD$2:BD$10000),IF(AND(LihatPemesanan!$B$4&lt;&gt;"",LihatPemesanan!$C$4=""),SUMIFS('Data Stok'!BD$2:BD$10000,'Data Stok'!$B$2:$B$10000,LihatPemesanan!$B$4),IF(OR($B$4="",$C$4&lt;&gt;""),SUMIFS('Data Stok'!BD$2:BD$10000,'Data Stok'!$C$2:$C$10000,LihatPemesanan!$C$4),""))))</f>
        <v/>
      </c>
      <c r="CA3" s="129"/>
      <c r="CB3" s="129"/>
      <c r="CC3" s="129"/>
      <c r="CD3" s="129"/>
      <c r="CE3" s="129"/>
      <c r="CF3" s="129"/>
      <c r="CG3" s="129"/>
      <c r="CH3" s="129"/>
      <c r="CI3" s="129"/>
      <c r="CJ3" s="129"/>
      <c r="CK3" s="129"/>
      <c r="CL3" s="129"/>
      <c r="CM3" s="129"/>
      <c r="CN3" s="129"/>
      <c r="CO3" s="129"/>
      <c r="CP3" s="129"/>
      <c r="CQ3" s="129"/>
      <c r="CR3" s="129"/>
      <c r="CS3" s="129"/>
      <c r="CT3" s="129"/>
      <c r="CU3" s="129"/>
      <c r="CV3" s="129"/>
      <c r="CW3" s="129"/>
      <c r="CX3" s="129"/>
    </row>
    <row r="4" spans="2:121">
      <c r="B4" s="134"/>
      <c r="C4" s="131"/>
      <c r="D4" s="135"/>
      <c r="E4" s="135"/>
      <c r="BA4" s="16" t="str">
        <f>IF(BA$9="","",IF(AND($B$4="",$C$4=""),SUM('Data Stok'!AX$2:AX$10000),IF(AND(LihatPemesanan!$B$4&lt;&gt;"",LihatPemesanan!$C$4=""),SUMIFS('Data Stok'!AX$2:AX$10000,'Data Stok'!$B$2:$B$10000,LihatPemesanan!$B$4),IF(OR($B$4="",$C$4&lt;&gt;""),SUMIFS('Data Stok'!AX$2:AX$10000,'Data Stok'!$C$2:$C$10000,LihatPemesanan!$C$4),""))))</f>
        <v/>
      </c>
      <c r="BB4" s="16" t="str">
        <f>IF(BB$9="","",IF(AND($B$4="",$C$4=""),SUM('Data Stok'!AY$2:AY$10000),IF(AND(LihatPemesanan!$B$4&lt;&gt;"",LihatPemesanan!$C$4=""),SUMIFS('Data Stok'!AY$2:AY$10000,'Data Stok'!$B$2:$B$10000,LihatPemesanan!$B$4),IF(OR($B$4="",$C$4&lt;&gt;""),SUMIFS('Data Stok'!AY$2:AY$10000,'Data Stok'!$C$2:$C$10000,LihatPemesanan!$C$4),""))))</f>
        <v/>
      </c>
      <c r="BC4" s="16" t="str">
        <f>IF(BC$9="","",IF(AND($B$4="",$C$4=""),SUM('Data Stok'!AZ$2:AZ$10000),IF(AND(LihatPemesanan!$B$4&lt;&gt;"",LihatPemesanan!$C$4=""),SUMIFS('Data Stok'!AZ$2:AZ$10000,'Data Stok'!$B$2:$B$10000,LihatPemesanan!$B$4),IF(OR($B$4="",$C$4&lt;&gt;""),SUMIFS('Data Stok'!AZ$2:AZ$10000,'Data Stok'!$C$2:$C$10000,LihatPemesanan!$C$4),""))))</f>
        <v/>
      </c>
      <c r="BD4" s="16" t="str">
        <f>IF(BD$9="","",IF(AND($B$4="",$C$4=""),SUM('Data Stok'!BA$2:BA$10000),IF(AND(LihatPemesanan!$B$4&lt;&gt;"",LihatPemesanan!$C$4=""),SUMIFS('Data Stok'!BA$2:BA$10000,'Data Stok'!$B$2:$B$10000,LihatPemesanan!$B$4),IF(OR($B$4="",$C$4&lt;&gt;""),SUMIFS('Data Stok'!BA$2:BA$10000,'Data Stok'!$C$2:$C$10000,LihatPemesanan!$C$4),""))))</f>
        <v/>
      </c>
      <c r="BE4" s="16" t="str">
        <f>IF(BE$9="","",IF(AND($B$4="",$C$4=""),SUM('Data Stok'!BB$2:BB$10000),IF(AND(LihatPemesanan!$B$4&lt;&gt;"",LihatPemesanan!$C$4=""),SUMIFS('Data Stok'!BB$2:BB$10000,'Data Stok'!$B$2:$B$10000,LihatPemesanan!$B$4),IF(OR($B$4="",$C$4&lt;&gt;""),SUMIFS('Data Stok'!BB$2:BB$10000,'Data Stok'!$C$2:$C$10000,LihatPemesanan!$C$4),""))))</f>
        <v/>
      </c>
      <c r="BF4" s="16" t="str">
        <f>IF(BF$9="","",IF(AND($B$4="",$C$4=""),SUM('Data Stok'!BC$2:BC$10000),IF(AND(LihatPemesanan!$B$4&lt;&gt;"",LihatPemesanan!$C$4=""),SUMIFS('Data Stok'!BC$2:BC$10000,'Data Stok'!$B$2:$B$10000,LihatPemesanan!$B$4),IF(OR($B$4="",$C$4&lt;&gt;""),SUMIFS('Data Stok'!BC$2:BC$10000,'Data Stok'!$C$2:$C$10000,LihatPemesanan!$C$4),""))))</f>
        <v/>
      </c>
      <c r="BG4" s="16" t="str">
        <f>IF(BG$9="","",IF(AND($B$4="",$C$4=""),SUM('Data Stok'!BD$2:BD$10000),IF(AND(LihatPemesanan!$B$4&lt;&gt;"",LihatPemesanan!$C$4=""),SUMIFS('Data Stok'!BD$2:BD$10000,'Data Stok'!$B$2:$B$10000,LihatPemesanan!$B$4),IF(OR($B$4="",$C$4&lt;&gt;""),SUMIFS('Data Stok'!BD$2:BD$10000,'Data Stok'!$C$2:$C$10000,LihatPemesanan!$C$4),""))))</f>
        <v/>
      </c>
    </row>
    <row r="5" spans="2:121" s="156" customFormat="1">
      <c r="G5" s="157"/>
      <c r="H5" s="157"/>
      <c r="I5" s="157"/>
      <c r="J5" s="157"/>
      <c r="K5" s="157"/>
      <c r="L5" s="157"/>
      <c r="M5" s="157"/>
      <c r="N5" s="157"/>
      <c r="O5" s="157"/>
      <c r="P5" s="157"/>
      <c r="Q5" s="157"/>
      <c r="R5" s="157"/>
      <c r="S5" s="157"/>
      <c r="T5" s="157"/>
      <c r="U5" s="157"/>
      <c r="V5" s="157"/>
      <c r="W5" s="157"/>
      <c r="X5" s="157"/>
      <c r="Y5" s="157"/>
      <c r="Z5" s="157"/>
      <c r="AA5" s="157"/>
      <c r="AB5" s="157"/>
      <c r="AC5" s="157"/>
      <c r="AD5" s="157"/>
      <c r="AE5" s="157"/>
      <c r="AF5" s="157"/>
      <c r="AG5" s="157"/>
      <c r="AH5" s="157"/>
      <c r="AI5" s="157"/>
      <c r="AJ5" s="157"/>
      <c r="AK5" s="157"/>
      <c r="AL5" s="157"/>
      <c r="AM5" s="157"/>
      <c r="AN5" s="157"/>
      <c r="AO5" s="157"/>
      <c r="AP5" s="157"/>
      <c r="AQ5" s="157"/>
      <c r="AR5" s="157"/>
      <c r="AS5" s="157"/>
      <c r="AT5" s="157"/>
      <c r="AU5" s="157"/>
      <c r="AV5" s="157"/>
      <c r="AW5" s="157"/>
      <c r="AX5" s="157"/>
      <c r="AY5" s="157"/>
      <c r="AZ5" s="157"/>
      <c r="BA5" s="156" t="str">
        <f>IF(BA$9="","",IF(AND($B$4="",$C$4=""),SUM('Data Stok'!AX$2:AX$10000),IF(AND(LihatPemesanan!$B$4&lt;&gt;"",LihatPemesanan!$C$4=""),SUMIFS('Data Stok'!AX$2:AX$10000,'Data Stok'!$B$2:$B$10000,LihatPemesanan!$B$4),IF(OR($B$4="",$C$4&lt;&gt;""),SUMIFS('Data Stok'!AX$2:AX$10000,'Data Stok'!$C$2:$C$10000,LihatPemesanan!$C$4),""))))</f>
        <v/>
      </c>
      <c r="BB5" s="156" t="str">
        <f>IF(BB$9="","",IF(AND($B$4="",$C$4=""),SUM('Data Stok'!AY$2:AY$10000),IF(AND(LihatPemesanan!$B$4&lt;&gt;"",LihatPemesanan!$C$4=""),SUMIFS('Data Stok'!AY$2:AY$10000,'Data Stok'!$B$2:$B$10000,LihatPemesanan!$B$4),IF(OR($B$4="",$C$4&lt;&gt;""),SUMIFS('Data Stok'!AY$2:AY$10000,'Data Stok'!$C$2:$C$10000,LihatPemesanan!$C$4),""))))</f>
        <v/>
      </c>
      <c r="BC5" s="156" t="str">
        <f>IF(BC$9="","",IF(AND($B$4="",$C$4=""),SUM('Data Stok'!AZ$2:AZ$10000),IF(AND(LihatPemesanan!$B$4&lt;&gt;"",LihatPemesanan!$C$4=""),SUMIFS('Data Stok'!AZ$2:AZ$10000,'Data Stok'!$B$2:$B$10000,LihatPemesanan!$B$4),IF(OR($B$4="",$C$4&lt;&gt;""),SUMIFS('Data Stok'!AZ$2:AZ$10000,'Data Stok'!$C$2:$C$10000,LihatPemesanan!$C$4),""))))</f>
        <v/>
      </c>
      <c r="BD5" s="156" t="str">
        <f>IF(BD$9="","",IF(AND($B$4="",$C$4=""),SUM('Data Stok'!BA$2:BA$10000),IF(AND(LihatPemesanan!$B$4&lt;&gt;"",LihatPemesanan!$C$4=""),SUMIFS('Data Stok'!BA$2:BA$10000,'Data Stok'!$B$2:$B$10000,LihatPemesanan!$B$4),IF(OR($B$4="",$C$4&lt;&gt;""),SUMIFS('Data Stok'!BA$2:BA$10000,'Data Stok'!$C$2:$C$10000,LihatPemesanan!$C$4),""))))</f>
        <v/>
      </c>
      <c r="BE5" s="156" t="str">
        <f>IF(BE$9="","",IF(AND($B$4="",$C$4=""),SUM('Data Stok'!BB$2:BB$10000),IF(AND(LihatPemesanan!$B$4&lt;&gt;"",LihatPemesanan!$C$4=""),SUMIFS('Data Stok'!BB$2:BB$10000,'Data Stok'!$B$2:$B$10000,LihatPemesanan!$B$4),IF(OR($B$4="",$C$4&lt;&gt;""),SUMIFS('Data Stok'!BB$2:BB$10000,'Data Stok'!$C$2:$C$10000,LihatPemesanan!$C$4),""))))</f>
        <v/>
      </c>
      <c r="BF5" s="156" t="str">
        <f>IF(BF$9="","",IF(AND($B$4="",$C$4=""),SUM('Data Stok'!BC$2:BC$10000),IF(AND(LihatPemesanan!$B$4&lt;&gt;"",LihatPemesanan!$C$4=""),SUMIFS('Data Stok'!BC$2:BC$10000,'Data Stok'!$B$2:$B$10000,LihatPemesanan!$B$4),IF(OR($B$4="",$C$4&lt;&gt;""),SUMIFS('Data Stok'!BC$2:BC$10000,'Data Stok'!$C$2:$C$10000,LihatPemesanan!$C$4),""))))</f>
        <v/>
      </c>
      <c r="BG5" s="156" t="str">
        <f>IF(BG$9="","",IF(AND($B$4="",$C$4=""),SUM('Data Stok'!BD$2:BD$10000),IF(AND(LihatPemesanan!$B$4&lt;&gt;"",LihatPemesanan!$C$4=""),SUMIFS('Data Stok'!BD$2:BD$10000,'Data Stok'!$B$2:$B$10000,LihatPemesanan!$B$4),IF(OR($B$4="",$C$4&lt;&gt;""),SUMIFS('Data Stok'!BD$2:BD$10000,'Data Stok'!$C$2:$C$10000,LihatPemesanan!$C$4),""))))</f>
        <v/>
      </c>
    </row>
    <row r="6" spans="2:121" s="156" customFormat="1">
      <c r="B6" s="136"/>
      <c r="C6" s="137"/>
      <c r="D6" s="137"/>
      <c r="E6" s="137"/>
      <c r="F6" s="129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  <c r="AA6" s="138"/>
      <c r="AB6" s="138"/>
      <c r="AC6" s="138"/>
      <c r="AD6" s="138"/>
      <c r="AE6" s="138"/>
      <c r="AF6" s="138"/>
      <c r="AG6" s="138"/>
      <c r="AH6" s="138"/>
      <c r="AI6" s="138"/>
      <c r="AJ6" s="138"/>
      <c r="AK6" s="138"/>
      <c r="AL6" s="138"/>
      <c r="AM6" s="138"/>
      <c r="AN6" s="138"/>
      <c r="AO6" s="138"/>
      <c r="AP6" s="138"/>
      <c r="AQ6" s="138"/>
      <c r="AR6" s="157"/>
      <c r="AS6" s="157"/>
      <c r="AT6" s="157"/>
      <c r="AU6" s="157"/>
      <c r="AV6" s="157"/>
      <c r="AW6" s="157"/>
      <c r="AX6" s="157"/>
      <c r="AY6" s="157"/>
      <c r="AZ6" s="157"/>
      <c r="BA6" s="156" t="str">
        <f>IF(BA$9="","",IF(AND($B$4="",$C$4=""),SUM('Data Stok'!AX$2:AX$10000),IF(AND(LihatPemesanan!$B$4&lt;&gt;"",LihatPemesanan!$C$4=""),SUMIFS('Data Stok'!AX$2:AX$10000,'Data Stok'!$B$2:$B$10000,LihatPemesanan!$B$4),IF(OR($B$4="",$C$4&lt;&gt;""),SUMIFS('Data Stok'!AX$2:AX$10000,'Data Stok'!$C$2:$C$10000,LihatPemesanan!$C$4),""))))</f>
        <v/>
      </c>
    </row>
    <row r="7" spans="2:121" s="156" customFormat="1">
      <c r="AS7" s="156" t="str">
        <f>IF(AS9="","",IF(AND($B$4="",$C$4=""),SUM('Data Stok'!AP$2:AP$10000),IF(AND(LihatPemesanan!$B$4&lt;&gt;"",LihatPemesanan!$C$4=""),SUMIFS('Data Stok'!AP$2:AP$10000,'Data Stok'!$B$2:$B$10000,LihatPemesanan!$B$4),IF(OR($B$4="",$C$4&lt;&gt;""),SUMIFS('Data Stok'!AP$2:AP$10000,'Data Stok'!$C$2:$C$10000,LihatPemesanan!$C$4),""))))</f>
        <v/>
      </c>
      <c r="AT7" s="156" t="str">
        <f>IF(AT9="","",IF(AND($B$4="",$C$4=""),SUM('Data Stok'!AQ$2:AQ$10000),IF(AND(LihatPemesanan!$B$4&lt;&gt;"",LihatPemesanan!$C$4=""),SUMIFS('Data Stok'!AQ$2:AQ$10000,'Data Stok'!$B$2:$B$10000,LihatPemesanan!$B$4),IF(OR($B$4="",$C$4&lt;&gt;""),SUMIFS('Data Stok'!AQ$2:AQ$10000,'Data Stok'!$C$2:$C$10000,LihatPemesanan!$C$4),""))))</f>
        <v/>
      </c>
      <c r="AU7" s="156" t="str">
        <f>IF(AU9="","",IF(AND($B$4="",$C$4=""),SUM('Data Stok'!AR$2:AR$10000),IF(AND(LihatPemesanan!$B$4&lt;&gt;"",LihatPemesanan!$C$4=""),SUMIFS('Data Stok'!AR$2:AR$10000,'Data Stok'!$B$2:$B$10000,LihatPemesanan!$B$4),IF(OR($B$4="",$C$4&lt;&gt;""),SUMIFS('Data Stok'!AR$2:AR$10000,'Data Stok'!$C$2:$C$10000,LihatPemesanan!$C$4),""))))</f>
        <v/>
      </c>
      <c r="AV7" s="156" t="str">
        <f>IF(AV9="","",IF(AND($B$4="",$C$4=""),SUM('Data Stok'!AS$2:AS$10000),IF(AND(LihatPemesanan!$B$4&lt;&gt;"",LihatPemesanan!$C$4=""),SUMIFS('Data Stok'!AS$2:AS$10000,'Data Stok'!$B$2:$B$10000,LihatPemesanan!$B$4),IF(OR($B$4="",$C$4&lt;&gt;""),SUMIFS('Data Stok'!AS$2:AS$10000,'Data Stok'!$C$2:$C$10000,LihatPemesanan!$C$4),""))))</f>
        <v/>
      </c>
      <c r="AW7" s="156" t="str">
        <f>IF(AW9="","",IF(AND($B$4="",$C$4=""),SUM('Data Stok'!AT$2:AT$10000),IF(AND(LihatPemesanan!$B$4&lt;&gt;"",LihatPemesanan!$C$4=""),SUMIFS('Data Stok'!AT$2:AT$10000,'Data Stok'!$B$2:$B$10000,LihatPemesanan!$B$4),IF(OR($B$4="",$C$4&lt;&gt;""),SUMIFS('Data Stok'!AT$2:AT$10000,'Data Stok'!$C$2:$C$10000,LihatPemesanan!$C$4),""))))</f>
        <v/>
      </c>
      <c r="AX7" s="156" t="str">
        <f>IF(AX9="","",IF(AND($B$4="",$C$4=""),SUM('Data Stok'!AU$2:AU$10000),IF(AND(LihatPemesanan!$B$4&lt;&gt;"",LihatPemesanan!$C$4=""),SUMIFS('Data Stok'!AU$2:AU$10000,'Data Stok'!$B$2:$B$10000,LihatPemesanan!$B$4),IF(OR($B$4="",$C$4&lt;&gt;""),SUMIFS('Data Stok'!AU$2:AU$10000,'Data Stok'!$C$2:$C$10000,LihatPemesanan!$C$4),""))))</f>
        <v/>
      </c>
      <c r="AY7" s="156" t="str">
        <f>IF(AY9="","",IF(AND($B$4="",$C$4=""),SUM('Data Stok'!AV$2:AV$10000),IF(AND(LihatPemesanan!$B$4&lt;&gt;"",LihatPemesanan!$C$4=""),SUMIFS('Data Stok'!AV$2:AV$10000,'Data Stok'!$B$2:$B$10000,LihatPemesanan!$B$4),IF(OR($B$4="",$C$4&lt;&gt;""),SUMIFS('Data Stok'!AV$2:AV$10000,'Data Stok'!$C$2:$C$10000,LihatPemesanan!$C$4),""))))</f>
        <v/>
      </c>
      <c r="AZ7" s="156" t="str">
        <f>IF(AZ9="","",IF(AND($B$4="",$C$4=""),SUM('Data Stok'!AW$2:AW$10000),IF(AND(LihatPemesanan!$B$4&lt;&gt;"",LihatPemesanan!$C$4=""),SUMIFS('Data Stok'!AW$2:AW$10000,'Data Stok'!$B$2:$B$10000,LihatPemesanan!$B$4),IF(OR($B$4="",$C$4&lt;&gt;""),SUMIFS('Data Stok'!AW$2:AW$10000,'Data Stok'!$C$2:$C$10000,LihatPemesanan!$C$4),""))))</f>
        <v/>
      </c>
    </row>
    <row r="8" spans="2:121">
      <c r="AS8" s="155" t="str">
        <f>IF(AS$9="","",IF(AND($B$4="",$C$4=""),SUM('Data Stok'!AP$2:AP$10000),IF(AND(LihatPemesanan!$B$4&lt;&gt;"",LihatPemesanan!$C$4=""),SUMIFS('Data Stok'!AP$2:AP$10000,'Data Stok'!$B$2:$B$10000,LihatPemesanan!$B$4),IF(OR($B$4="",$C$4&lt;&gt;""),SUMIFS('Data Stok'!AP$2:AP$10000,'Data Stok'!$C$2:$C$10000,LihatPemesanan!$C$4),""))))</f>
        <v/>
      </c>
      <c r="AT8" s="155" t="str">
        <f>IF(AT$9="","",IF(AND($B$4="",$C$4=""),SUM('Data Stok'!AQ$2:AQ$10000),IF(AND(LihatPemesanan!$B$4&lt;&gt;"",LihatPemesanan!$C$4=""),SUMIFS('Data Stok'!AQ$2:AQ$10000,'Data Stok'!$B$2:$B$10000,LihatPemesanan!$B$4),IF(OR($B$4="",$C$4&lt;&gt;""),SUMIFS('Data Stok'!AQ$2:AQ$10000,'Data Stok'!$C$2:$C$10000,LihatPemesanan!$C$4),""))))</f>
        <v/>
      </c>
      <c r="AU8" s="155" t="str">
        <f>IF(AU$9="","",IF(AND($B$4="",$C$4=""),SUM('Data Stok'!AR$2:AR$10000),IF(AND(LihatPemesanan!$B$4&lt;&gt;"",LihatPemesanan!$C$4=""),SUMIFS('Data Stok'!AR$2:AR$10000,'Data Stok'!$B$2:$B$10000,LihatPemesanan!$B$4),IF(OR($B$4="",$C$4&lt;&gt;""),SUMIFS('Data Stok'!AR$2:AR$10000,'Data Stok'!$C$2:$C$10000,LihatPemesanan!$C$4),""))))</f>
        <v/>
      </c>
      <c r="AV8" s="155" t="str">
        <f>IF(AV$9="","",IF(AND($B$4="",$C$4=""),SUM('Data Stok'!AS$2:AS$10000),IF(AND(LihatPemesanan!$B$4&lt;&gt;"",LihatPemesanan!$C$4=""),SUMIFS('Data Stok'!AS$2:AS$10000,'Data Stok'!$B$2:$B$10000,LihatPemesanan!$B$4),IF(OR($B$4="",$C$4&lt;&gt;""),SUMIFS('Data Stok'!AS$2:AS$10000,'Data Stok'!$C$2:$C$10000,LihatPemesanan!$C$4),""))))</f>
        <v/>
      </c>
      <c r="AW8" s="155" t="str">
        <f>IF(AW$9="","",IF(AND($B$4="",$C$4=""),SUM('Data Stok'!AT$2:AT$10000),IF(AND(LihatPemesanan!$B$4&lt;&gt;"",LihatPemesanan!$C$4=""),SUMIFS('Data Stok'!AT$2:AT$10000,'Data Stok'!$B$2:$B$10000,LihatPemesanan!$B$4),IF(OR($B$4="",$C$4&lt;&gt;""),SUMIFS('Data Stok'!AT$2:AT$10000,'Data Stok'!$C$2:$C$10000,LihatPemesanan!$C$4),""))))</f>
        <v/>
      </c>
      <c r="AX8" s="155" t="str">
        <f>IF(AX$9="","",IF(AND($B$4="",$C$4=""),SUM('Data Stok'!AU$2:AU$10000),IF(AND(LihatPemesanan!$B$4&lt;&gt;"",LihatPemesanan!$C$4=""),SUMIFS('Data Stok'!AU$2:AU$10000,'Data Stok'!$B$2:$B$10000,LihatPemesanan!$B$4),IF(OR($B$4="",$C$4&lt;&gt;""),SUMIFS('Data Stok'!AU$2:AU$10000,'Data Stok'!$C$2:$C$10000,LihatPemesanan!$C$4),""))))</f>
        <v/>
      </c>
      <c r="AY8" s="155" t="str">
        <f>IF(AY$9="","",IF(AND($B$4="",$C$4=""),SUM('Data Stok'!AV$2:AV$10000),IF(AND(LihatPemesanan!$B$4&lt;&gt;"",LihatPemesanan!$C$4=""),SUMIFS('Data Stok'!AV$2:AV$10000,'Data Stok'!$B$2:$B$10000,LihatPemesanan!$B$4),IF(OR($B$4="",$C$4&lt;&gt;""),SUMIFS('Data Stok'!AV$2:AV$10000,'Data Stok'!$C$2:$C$10000,LihatPemesanan!$C$4),""))))</f>
        <v/>
      </c>
      <c r="AZ8" s="155" t="str">
        <f>IF(AZ$9="","",IF(AND($B$4="",$C$4=""),SUM('Data Stok'!AW$2:AW$10000),IF(AND(LihatPemesanan!$B$4&lt;&gt;"",LihatPemesanan!$C$4=""),SUMIFS('Data Stok'!AW$2:AW$10000,'Data Stok'!$B$2:$B$10000,LihatPemesanan!$B$4),IF(OR($B$4="",$C$4&lt;&gt;""),SUMIFS('Data Stok'!AW$2:AW$10000,'Data Stok'!$C$2:$C$10000,LihatPemesanan!$C$4),""))))</f>
        <v/>
      </c>
    </row>
    <row r="9" spans="2:121" s="156" customFormat="1">
      <c r="B9" s="127"/>
      <c r="C9" s="128"/>
      <c r="D9" s="128"/>
      <c r="E9" s="69"/>
      <c r="F9" s="69"/>
      <c r="G9" s="69"/>
      <c r="H9" s="69"/>
      <c r="I9" s="69"/>
      <c r="J9" s="69"/>
      <c r="K9" s="69"/>
      <c r="L9" s="69"/>
      <c r="M9" s="69"/>
      <c r="N9" s="69"/>
      <c r="O9" s="69"/>
      <c r="P9" s="69"/>
      <c r="Q9" s="69"/>
      <c r="R9" s="69"/>
      <c r="S9" s="69"/>
      <c r="T9" s="69"/>
      <c r="U9" s="69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69"/>
      <c r="AS9" s="158"/>
      <c r="AT9" s="158"/>
      <c r="AU9" s="158"/>
      <c r="AV9" s="158"/>
      <c r="AW9" s="158"/>
      <c r="AX9" s="158"/>
      <c r="AY9" s="158"/>
      <c r="AZ9" s="158"/>
    </row>
    <row r="10" spans="2:121">
      <c r="B10" s="86"/>
      <c r="C10" s="87"/>
      <c r="D10" s="87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</row>
    <row r="11" spans="2:121">
      <c r="B11" s="86"/>
      <c r="C11" s="87"/>
      <c r="D11" s="87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</row>
    <row r="12" spans="2:121">
      <c r="B12" s="86"/>
      <c r="C12" s="87"/>
      <c r="D12" s="87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</row>
    <row r="13" spans="2:121">
      <c r="B13" s="86"/>
      <c r="C13" s="87"/>
      <c r="D13" s="87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</row>
    <row r="14" spans="2:121">
      <c r="B14" s="86"/>
      <c r="C14" s="87"/>
      <c r="D14" s="87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</row>
    <row r="15" spans="2:121">
      <c r="B15" s="86"/>
      <c r="C15" s="87"/>
      <c r="D15" s="87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</row>
    <row r="16" spans="2:121">
      <c r="B16" s="86"/>
      <c r="C16" s="87"/>
      <c r="D16" s="87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</row>
    <row r="17" spans="2:102">
      <c r="B17" s="86"/>
      <c r="C17" s="87"/>
      <c r="D17" s="87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</row>
    <row r="18" spans="2:102" s="159" customFormat="1">
      <c r="B18" s="86"/>
      <c r="C18" s="87"/>
      <c r="D18" s="87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125"/>
      <c r="AT18" s="125"/>
      <c r="AU18" s="125"/>
      <c r="AV18" s="125"/>
      <c r="AW18" s="125"/>
      <c r="AX18" s="125"/>
      <c r="AY18" s="125"/>
      <c r="AZ18" s="125"/>
      <c r="BA18" s="125"/>
      <c r="BY18" s="125"/>
      <c r="CA18" s="160"/>
      <c r="CB18" s="160"/>
      <c r="CC18" s="160"/>
      <c r="CD18" s="160"/>
      <c r="CE18" s="160"/>
      <c r="CF18" s="160"/>
      <c r="CG18" s="160"/>
      <c r="CH18" s="160"/>
      <c r="CI18" s="160"/>
      <c r="CJ18" s="160"/>
      <c r="CK18" s="160"/>
      <c r="CL18" s="160"/>
      <c r="CM18" s="160"/>
      <c r="CN18" s="160"/>
      <c r="CO18" s="160"/>
      <c r="CP18" s="160"/>
      <c r="CQ18" s="160"/>
      <c r="CR18" s="160"/>
      <c r="CS18" s="160"/>
      <c r="CT18" s="160"/>
      <c r="CU18" s="160"/>
      <c r="CV18" s="160"/>
      <c r="CW18" s="160"/>
      <c r="CX18" s="160"/>
    </row>
    <row r="19" spans="2:102">
      <c r="B19" s="86"/>
      <c r="C19" s="87"/>
      <c r="D19" s="87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</row>
    <row r="20" spans="2:102">
      <c r="B20" s="86"/>
      <c r="C20" s="87"/>
      <c r="D20" s="87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</row>
    <row r="21" spans="2:102" s="161" customFormat="1">
      <c r="B21" s="86"/>
      <c r="C21" s="87"/>
      <c r="D21" s="87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132"/>
      <c r="AT21" s="132"/>
      <c r="AU21" s="132"/>
      <c r="AV21" s="132"/>
      <c r="AW21" s="132"/>
      <c r="AX21" s="132"/>
      <c r="AY21" s="132"/>
      <c r="AZ21" s="132"/>
      <c r="CA21" s="162"/>
      <c r="CB21" s="162"/>
      <c r="CC21" s="162"/>
      <c r="CD21" s="162"/>
      <c r="CE21" s="162"/>
      <c r="CF21" s="162"/>
      <c r="CG21" s="162"/>
      <c r="CH21" s="162"/>
      <c r="CI21" s="162"/>
      <c r="CJ21" s="162"/>
      <c r="CK21" s="162"/>
      <c r="CL21" s="162"/>
      <c r="CM21" s="162"/>
      <c r="CN21" s="162"/>
      <c r="CO21" s="162"/>
      <c r="CP21" s="162"/>
      <c r="CQ21" s="162"/>
      <c r="CR21" s="162"/>
      <c r="CS21" s="162"/>
      <c r="CT21" s="162"/>
      <c r="CU21" s="162"/>
      <c r="CV21" s="162"/>
      <c r="CW21" s="162"/>
      <c r="CX21" s="162"/>
    </row>
    <row r="22" spans="2:102">
      <c r="B22" s="86"/>
      <c r="C22" s="87"/>
      <c r="D22" s="87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</row>
    <row r="23" spans="2:102">
      <c r="B23" s="86"/>
      <c r="C23" s="87"/>
      <c r="D23" s="87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</row>
    <row r="24" spans="2:102">
      <c r="B24" s="86"/>
      <c r="C24" s="87"/>
      <c r="D24" s="87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</row>
    <row r="25" spans="2:102">
      <c r="B25" s="86"/>
      <c r="C25" s="87"/>
      <c r="D25" s="87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</row>
    <row r="26" spans="2:102">
      <c r="B26" s="86"/>
      <c r="C26" s="87"/>
      <c r="D26" s="87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</row>
    <row r="27" spans="2:102">
      <c r="B27" s="86"/>
      <c r="C27" s="87"/>
      <c r="D27" s="87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</row>
    <row r="28" spans="2:102">
      <c r="B28" s="86"/>
      <c r="C28" s="87"/>
      <c r="D28" s="87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</row>
    <row r="29" spans="2:102">
      <c r="B29" s="86"/>
      <c r="C29" s="87"/>
      <c r="D29" s="87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</row>
    <row r="30" spans="2:102" ht="14.25">
      <c r="F30" s="163"/>
    </row>
    <row r="31" spans="2:102" ht="14.25">
      <c r="F31" s="163"/>
    </row>
    <row r="32" spans="2:102" s="159" customFormat="1" ht="14.25">
      <c r="F32" s="169"/>
      <c r="G32" s="170"/>
      <c r="H32" s="170"/>
      <c r="I32" s="170"/>
      <c r="J32" s="170"/>
      <c r="K32" s="170"/>
      <c r="L32" s="170"/>
      <c r="M32" s="170"/>
      <c r="N32" s="170"/>
      <c r="O32" s="170"/>
      <c r="P32" s="170"/>
      <c r="Q32" s="170"/>
      <c r="R32" s="170"/>
      <c r="S32" s="170"/>
      <c r="T32" s="170"/>
      <c r="U32" s="170"/>
      <c r="V32" s="170"/>
      <c r="W32" s="170"/>
      <c r="X32" s="170"/>
      <c r="Y32" s="170"/>
      <c r="Z32" s="170"/>
      <c r="AA32" s="170"/>
      <c r="AB32" s="170"/>
      <c r="AC32" s="170"/>
      <c r="AD32" s="170"/>
      <c r="AE32" s="170"/>
      <c r="AF32" s="170"/>
      <c r="AG32" s="170"/>
      <c r="AH32" s="170"/>
      <c r="AI32" s="170"/>
      <c r="AJ32" s="170"/>
      <c r="AK32" s="170"/>
      <c r="AL32" s="170"/>
      <c r="AM32" s="170"/>
      <c r="AN32" s="170"/>
      <c r="AO32" s="170"/>
      <c r="AP32" s="170"/>
      <c r="AQ32" s="170"/>
      <c r="AR32" s="170"/>
      <c r="AS32" s="170"/>
      <c r="AT32" s="170"/>
      <c r="AU32" s="170"/>
      <c r="AV32" s="170"/>
      <c r="AW32" s="170"/>
      <c r="AX32" s="170"/>
      <c r="AY32" s="170"/>
      <c r="AZ32" s="170"/>
      <c r="CA32" s="160"/>
      <c r="CB32" s="160"/>
      <c r="CC32" s="160"/>
      <c r="CD32" s="160"/>
      <c r="CE32" s="160"/>
      <c r="CF32" s="160"/>
      <c r="CG32" s="160"/>
      <c r="CH32" s="160"/>
      <c r="CI32" s="160"/>
      <c r="CJ32" s="160"/>
      <c r="CK32" s="160"/>
      <c r="CL32" s="160"/>
      <c r="CM32" s="160"/>
      <c r="CN32" s="160"/>
      <c r="CO32" s="160"/>
      <c r="CP32" s="160"/>
      <c r="CQ32" s="160"/>
      <c r="CR32" s="160"/>
      <c r="CS32" s="160"/>
      <c r="CT32" s="160"/>
      <c r="CU32" s="160"/>
      <c r="CV32" s="160"/>
      <c r="CW32" s="160"/>
      <c r="CX32" s="160"/>
    </row>
    <row r="33" spans="6:52" ht="14.25">
      <c r="F33" s="163"/>
      <c r="G33" s="164"/>
      <c r="H33" s="164"/>
      <c r="I33" s="164"/>
      <c r="J33" s="164"/>
      <c r="K33" s="164"/>
      <c r="L33" s="164"/>
      <c r="M33" s="164"/>
      <c r="N33" s="164"/>
      <c r="O33" s="164"/>
      <c r="P33" s="164"/>
      <c r="Q33" s="164"/>
      <c r="R33" s="164"/>
      <c r="S33" s="164"/>
      <c r="T33" s="164"/>
      <c r="U33" s="164"/>
      <c r="V33" s="164"/>
      <c r="W33" s="164"/>
      <c r="X33" s="164"/>
      <c r="Y33" s="164"/>
      <c r="Z33" s="164"/>
      <c r="AA33" s="164"/>
      <c r="AB33" s="164"/>
      <c r="AC33" s="164"/>
      <c r="AD33" s="164"/>
      <c r="AE33" s="164"/>
      <c r="AF33" s="164"/>
      <c r="AG33" s="164"/>
      <c r="AH33" s="164"/>
      <c r="AI33" s="164"/>
      <c r="AJ33" s="164"/>
      <c r="AK33" s="164"/>
      <c r="AL33" s="164"/>
      <c r="AM33" s="164"/>
      <c r="AN33" s="164"/>
      <c r="AO33" s="164"/>
      <c r="AP33" s="164"/>
      <c r="AQ33" s="164"/>
      <c r="AR33" s="164"/>
      <c r="AS33" s="164"/>
      <c r="AT33" s="164"/>
      <c r="AU33" s="164"/>
      <c r="AV33" s="164"/>
      <c r="AW33" s="164"/>
      <c r="AX33" s="164"/>
      <c r="AY33" s="164"/>
      <c r="AZ33" s="164"/>
    </row>
    <row r="37" spans="6:52">
      <c r="G37" s="164"/>
      <c r="H37" s="164"/>
    </row>
  </sheetData>
  <conditionalFormatting sqref="CA1:DQ1">
    <cfRule type="expression" dxfId="1" priority="35">
      <formula>$A1&lt;&gt;""</formula>
    </cfRule>
  </conditionalFormatting>
  <conditionalFormatting sqref="B9:AR9">
    <cfRule type="expression" dxfId="0" priority="1">
      <formula>$A9&lt;&gt;""</formula>
    </cfRule>
  </conditionalFormatting>
  <dataValidations count="4">
    <dataValidation type="list" allowBlank="1" showInputMessage="1" showErrorMessage="1" sqref="C4">
      <formula1>TanggalPanen</formula1>
    </dataValidation>
    <dataValidation type="list" allowBlank="1" showInputMessage="1" showErrorMessage="1" sqref="B4">
      <formula1>Bulan</formula1>
    </dataValidation>
    <dataValidation type="list" allowBlank="1" showInputMessage="1" showErrorMessage="1" sqref="E4">
      <formula1>DataRekapPembeli1</formula1>
    </dataValidation>
    <dataValidation type="list" allowBlank="1" showInputMessage="1" showErrorMessage="1" sqref="D4">
      <formula1>DaftarKontak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23</vt:i4>
      </vt:variant>
    </vt:vector>
  </HeadingPairs>
  <TitlesOfParts>
    <vt:vector size="35" baseType="lpstr">
      <vt:lpstr>DaftarKontak</vt:lpstr>
      <vt:lpstr>Input</vt:lpstr>
      <vt:lpstr>PartsData</vt:lpstr>
      <vt:lpstr>InputLinks</vt:lpstr>
      <vt:lpstr>SelRecordLinks</vt:lpstr>
      <vt:lpstr>CariData</vt:lpstr>
      <vt:lpstr>InputStok</vt:lpstr>
      <vt:lpstr>List</vt:lpstr>
      <vt:lpstr>Data Stok</vt:lpstr>
      <vt:lpstr>InputPemesanan</vt:lpstr>
      <vt:lpstr>DataPemesanan</vt:lpstr>
      <vt:lpstr>LihatPemesanan</vt:lpstr>
      <vt:lpstr>Bulan</vt:lpstr>
      <vt:lpstr>CheckID</vt:lpstr>
      <vt:lpstr>CariData!Criteria</vt:lpstr>
      <vt:lpstr>LihatPemesanan!Criteria</vt:lpstr>
      <vt:lpstr>CurrRec</vt:lpstr>
      <vt:lpstr>DB_Row</vt:lpstr>
      <vt:lpstr>CariData!Extract</vt:lpstr>
      <vt:lpstr>LihatPemesanan!Extract</vt:lpstr>
      <vt:lpstr>HP</vt:lpstr>
      <vt:lpstr>IDPembeli</vt:lpstr>
      <vt:lpstr>InputA</vt:lpstr>
      <vt:lpstr>InputB</vt:lpstr>
      <vt:lpstr>InputCopy</vt:lpstr>
      <vt:lpstr>JK</vt:lpstr>
      <vt:lpstr>MandFields</vt:lpstr>
      <vt:lpstr>OrderEntry</vt:lpstr>
      <vt:lpstr>OrderID</vt:lpstr>
      <vt:lpstr>OrderSel</vt:lpstr>
      <vt:lpstr>PilihPembeli</vt:lpstr>
      <vt:lpstr>SelRec</vt:lpstr>
      <vt:lpstr>SelValA</vt:lpstr>
      <vt:lpstr>StartCol</vt:lpstr>
      <vt:lpstr>Status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2009-11-05T16:10:15Z</cp:lastPrinted>
  <dcterms:created xsi:type="dcterms:W3CDTF">2003-08-10T01:51:48Z</dcterms:created>
  <dcterms:modified xsi:type="dcterms:W3CDTF">2018-02-12T00:53:20Z</dcterms:modified>
</cp:coreProperties>
</file>