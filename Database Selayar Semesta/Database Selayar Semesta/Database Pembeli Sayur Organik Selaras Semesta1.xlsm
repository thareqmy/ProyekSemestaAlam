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nsantosa/Desktop/Cijapati/Database/"/>
    </mc:Choice>
  </mc:AlternateContent>
  <bookViews>
    <workbookView xWindow="0" yWindow="460" windowWidth="25600" windowHeight="14640" activeTab="2"/>
  </bookViews>
  <sheets>
    <sheet name="DaftarKontak" sheetId="5" r:id="rId1"/>
    <sheet name="Input" sheetId="2" r:id="rId2"/>
    <sheet name="PartsData" sheetId="1" r:id="rId3"/>
    <sheet name="InputLinks" sheetId="9" state="hidden" r:id="rId4"/>
    <sheet name="SelRecordLinks" sheetId="11" state="hidden" r:id="rId5"/>
    <sheet name="CariData" sheetId="12" r:id="rId6"/>
  </sheets>
  <definedNames>
    <definedName name="_xlnm._FilterDatabase" localSheetId="2" hidden="1">PartsData!$C$1:$P$26</definedName>
    <definedName name="CariPembeli">DaftarKontak!$P$2:INDEX(DaftarKontak!$P$2:$P$201,COUNTIF(DaftarKontak!$P$2:$P$201,"?*"))</definedName>
    <definedName name="CheckID">Input!$R$5</definedName>
    <definedName name="_xlnm.Criteria" localSheetId="5">CariData!$B$3:$D$4</definedName>
    <definedName name="CurrRec">Input!$S$6</definedName>
    <definedName name="DaftarKontak">OFFSET(DaftarKontak!$A$1,1,0,COUNTA(DaftarKontak!$A:$A)-1,1)</definedName>
    <definedName name="DaftarPembeli">OFFSET(PartsData!$E$1,1,0,COUNTA(PartsData!$E:$E)-1,1)</definedName>
    <definedName name="DataPembeli">OFFSET(PartsData!$C$1,0,0,COUNTA(PartsData!$C:$C),COUNTA(PartsData!$1:$1))</definedName>
    <definedName name="DB_Row">SelRecordLinks!$C$1</definedName>
    <definedName name="_xlnm.Extract" localSheetId="5">CariData!$B$9:$M$9</definedName>
    <definedName name="HP">DaftarKontak!$I$1</definedName>
    <definedName name="HPKontak">OFFSET(DaftarKontak!$B$1,1,0,COUNTA(DaftarKontak!$B:$B)-1,1)</definedName>
    <definedName name="IDPembeli">Input!$D$7</definedName>
    <definedName name="InputA">Input!$D$5:$D$16</definedName>
    <definedName name="InputB">Input!$J$5:$J$7</definedName>
    <definedName name="InputCopy">InputLinks!$A$6:$L$6</definedName>
    <definedName name="JK">DaftarKontak!$G$1:$G$2</definedName>
    <definedName name="ListCariPembeli">DaftarKontak!$N$2:INDEX(DaftarKontak!$N$2:$N$201,COUNTIF(DaftarKontak!$N$2:$N$201,"?*"))</definedName>
    <definedName name="ListPembeli">DaftarKontak!$J$2:INDEX(DaftarKontak!$J$2:$J$201,COUNTIF(DaftarKontak!$J$2:$J$201,"?*"))</definedName>
    <definedName name="MandFields">InputLinks!$C$2</definedName>
    <definedName name="NamaPembeli">DaftarKontak!$L$2:INDEX(DaftarKontak!$L$2:$L$201,COUNTIF(DaftarKontak!$L$2:$L$201,"?*"))</definedName>
    <definedName name="OrderEntry">Input!$D$5:$D$16</definedName>
    <definedName name="OrderID">Input!$D$5</definedName>
    <definedName name="OrderIDList">OFFSET(PartsData!$C$1,1,0,COUNTA(PartsData!$C:$C)-1,1)</definedName>
    <definedName name="OrderSel">Input!$J$5</definedName>
    <definedName name="PartLU">OFFSET(PartList,,,,2)</definedName>
    <definedName name="PartsDatabase">OFFSET(PartsData!$A$1,0,0,COUNTA(PartsData!$A:$A),COUNTA(PartsData!$1:$1))</definedName>
    <definedName name="PartsDatabase1">OFFSET(PartsData!$A$2,0,0,COUNTA(PartsData!$A:$A),COUNTA(PartsData!$1:$1))</definedName>
    <definedName name="PilihPembeli">Input!$J$6</definedName>
    <definedName name="SelRec">Input!$S$5</definedName>
    <definedName name="SelValA">SelRecordLinks!$D$4:$D$15</definedName>
    <definedName name="StartCol">InputLinks!$A$2</definedName>
    <definedName name="Status">DaftarKontak!$H$1:$H$2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2" l="1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586" i="12"/>
  <c r="A587" i="12"/>
  <c r="A588" i="12"/>
  <c r="A589" i="12"/>
  <c r="A590" i="12"/>
  <c r="A591" i="12"/>
  <c r="A592" i="12"/>
  <c r="A593" i="12"/>
  <c r="A594" i="12"/>
  <c r="A595" i="12"/>
  <c r="A596" i="12"/>
  <c r="A597" i="12"/>
  <c r="A598" i="12"/>
  <c r="A599" i="12"/>
  <c r="A600" i="12"/>
  <c r="A601" i="12"/>
  <c r="A602" i="12"/>
  <c r="A603" i="12"/>
  <c r="A604" i="12"/>
  <c r="A605" i="12"/>
  <c r="A606" i="12"/>
  <c r="A607" i="12"/>
  <c r="A608" i="12"/>
  <c r="A609" i="12"/>
  <c r="A610" i="12"/>
  <c r="A611" i="12"/>
  <c r="A612" i="12"/>
  <c r="A613" i="12"/>
  <c r="A614" i="12"/>
  <c r="A615" i="12"/>
  <c r="A616" i="12"/>
  <c r="A617" i="12"/>
  <c r="A618" i="12"/>
  <c r="A619" i="12"/>
  <c r="A620" i="12"/>
  <c r="A621" i="12"/>
  <c r="A622" i="12"/>
  <c r="A623" i="12"/>
  <c r="A624" i="12"/>
  <c r="A625" i="12"/>
  <c r="A626" i="12"/>
  <c r="A627" i="12"/>
  <c r="A628" i="12"/>
  <c r="A629" i="12"/>
  <c r="A630" i="12"/>
  <c r="A631" i="12"/>
  <c r="A632" i="12"/>
  <c r="A633" i="12"/>
  <c r="A634" i="12"/>
  <c r="A635" i="12"/>
  <c r="A636" i="12"/>
  <c r="A637" i="12"/>
  <c r="A638" i="12"/>
  <c r="A639" i="12"/>
  <c r="A640" i="12"/>
  <c r="A641" i="12"/>
  <c r="A642" i="12"/>
  <c r="A643" i="12"/>
  <c r="A644" i="12"/>
  <c r="A645" i="12"/>
  <c r="A646" i="12"/>
  <c r="A647" i="12"/>
  <c r="A648" i="12"/>
  <c r="A649" i="12"/>
  <c r="A650" i="12"/>
  <c r="A651" i="12"/>
  <c r="A652" i="12"/>
  <c r="A653" i="12"/>
  <c r="A654" i="12"/>
  <c r="A655" i="12"/>
  <c r="A656" i="12"/>
  <c r="A657" i="12"/>
  <c r="A658" i="12"/>
  <c r="A659" i="12"/>
  <c r="A660" i="12"/>
  <c r="A661" i="12"/>
  <c r="A662" i="12"/>
  <c r="A663" i="12"/>
  <c r="A664" i="12"/>
  <c r="A665" i="12"/>
  <c r="A666" i="12"/>
  <c r="A667" i="12"/>
  <c r="A668" i="12"/>
  <c r="A669" i="12"/>
  <c r="A670" i="12"/>
  <c r="A671" i="12"/>
  <c r="A672" i="12"/>
  <c r="A673" i="12"/>
  <c r="A674" i="12"/>
  <c r="A675" i="12"/>
  <c r="A676" i="12"/>
  <c r="A677" i="12"/>
  <c r="A678" i="12"/>
  <c r="A679" i="12"/>
  <c r="A680" i="12"/>
  <c r="A681" i="12"/>
  <c r="A682" i="12"/>
  <c r="A683" i="12"/>
  <c r="A684" i="12"/>
  <c r="A685" i="12"/>
  <c r="A686" i="12"/>
  <c r="A687" i="12"/>
  <c r="A688" i="12"/>
  <c r="A689" i="12"/>
  <c r="A690" i="12"/>
  <c r="A691" i="12"/>
  <c r="A692" i="12"/>
  <c r="A693" i="12"/>
  <c r="A694" i="12"/>
  <c r="A695" i="12"/>
  <c r="A696" i="12"/>
  <c r="A697" i="12"/>
  <c r="A698" i="12"/>
  <c r="A699" i="12"/>
  <c r="A700" i="12"/>
  <c r="A701" i="12"/>
  <c r="A702" i="12"/>
  <c r="A703" i="12"/>
  <c r="A704" i="12"/>
  <c r="A705" i="12"/>
  <c r="A706" i="12"/>
  <c r="A707" i="12"/>
  <c r="A708" i="12"/>
  <c r="A709" i="12"/>
  <c r="A710" i="12"/>
  <c r="A711" i="12"/>
  <c r="A712" i="12"/>
  <c r="A713" i="12"/>
  <c r="A714" i="12"/>
  <c r="A715" i="12"/>
  <c r="A716" i="12"/>
  <c r="A717" i="12"/>
  <c r="A718" i="12"/>
  <c r="A719" i="12"/>
  <c r="A720" i="12"/>
  <c r="A721" i="12"/>
  <c r="A722" i="12"/>
  <c r="A723" i="12"/>
  <c r="A724" i="12"/>
  <c r="A725" i="12"/>
  <c r="A726" i="12"/>
  <c r="A727" i="12"/>
  <c r="A728" i="12"/>
  <c r="A729" i="12"/>
  <c r="A730" i="12"/>
  <c r="A731" i="12"/>
  <c r="A732" i="12"/>
  <c r="A733" i="12"/>
  <c r="A734" i="12"/>
  <c r="A735" i="12"/>
  <c r="A736" i="12"/>
  <c r="A737" i="12"/>
  <c r="A738" i="12"/>
  <c r="A739" i="12"/>
  <c r="A740" i="12"/>
  <c r="A741" i="12"/>
  <c r="A742" i="12"/>
  <c r="A743" i="12"/>
  <c r="A744" i="12"/>
  <c r="A745" i="12"/>
  <c r="A746" i="12"/>
  <c r="A747" i="12"/>
  <c r="A748" i="12"/>
  <c r="A749" i="12"/>
  <c r="A750" i="12"/>
  <c r="A751" i="12"/>
  <c r="A752" i="12"/>
  <c r="A753" i="12"/>
  <c r="A754" i="12"/>
  <c r="A755" i="12"/>
  <c r="A756" i="12"/>
  <c r="A757" i="12"/>
  <c r="A758" i="12"/>
  <c r="A759" i="12"/>
  <c r="A760" i="12"/>
  <c r="A761" i="12"/>
  <c r="A762" i="12"/>
  <c r="A763" i="12"/>
  <c r="A764" i="12"/>
  <c r="A765" i="12"/>
  <c r="A766" i="12"/>
  <c r="A767" i="12"/>
  <c r="A768" i="12"/>
  <c r="A769" i="12"/>
  <c r="A770" i="12"/>
  <c r="A771" i="12"/>
  <c r="A772" i="12"/>
  <c r="A773" i="12"/>
  <c r="A774" i="12"/>
  <c r="A775" i="12"/>
  <c r="A776" i="12"/>
  <c r="A777" i="12"/>
  <c r="A778" i="12"/>
  <c r="A779" i="12"/>
  <c r="A780" i="12"/>
  <c r="A781" i="12"/>
  <c r="A782" i="12"/>
  <c r="A783" i="12"/>
  <c r="A784" i="12"/>
  <c r="A785" i="12"/>
  <c r="A786" i="12"/>
  <c r="A787" i="12"/>
  <c r="A788" i="12"/>
  <c r="A789" i="12"/>
  <c r="A790" i="12"/>
  <c r="A791" i="12"/>
  <c r="A792" i="12"/>
  <c r="A793" i="12"/>
  <c r="A794" i="12"/>
  <c r="A795" i="12"/>
  <c r="A796" i="12"/>
  <c r="A797" i="12"/>
  <c r="A798" i="12"/>
  <c r="A799" i="12"/>
  <c r="A800" i="12"/>
  <c r="A801" i="12"/>
  <c r="A802" i="12"/>
  <c r="A803" i="12"/>
  <c r="A804" i="12"/>
  <c r="A805" i="12"/>
  <c r="A806" i="12"/>
  <c r="A807" i="12"/>
  <c r="A808" i="12"/>
  <c r="A809" i="12"/>
  <c r="A810" i="12"/>
  <c r="A811" i="12"/>
  <c r="A812" i="12"/>
  <c r="A813" i="12"/>
  <c r="A814" i="12"/>
  <c r="A815" i="12"/>
  <c r="A816" i="12"/>
  <c r="A817" i="12"/>
  <c r="A818" i="12"/>
  <c r="A819" i="12"/>
  <c r="A820" i="12"/>
  <c r="A821" i="12"/>
  <c r="A822" i="12"/>
  <c r="A823" i="12"/>
  <c r="A824" i="12"/>
  <c r="A825" i="12"/>
  <c r="A826" i="12"/>
  <c r="A827" i="12"/>
  <c r="A828" i="12"/>
  <c r="A829" i="12"/>
  <c r="A830" i="12"/>
  <c r="A831" i="12"/>
  <c r="A832" i="12"/>
  <c r="A833" i="12"/>
  <c r="A834" i="12"/>
  <c r="A835" i="12"/>
  <c r="A836" i="12"/>
  <c r="A837" i="12"/>
  <c r="A838" i="12"/>
  <c r="A839" i="12"/>
  <c r="A840" i="12"/>
  <c r="A841" i="12"/>
  <c r="A842" i="12"/>
  <c r="A843" i="12"/>
  <c r="A844" i="12"/>
  <c r="A845" i="12"/>
  <c r="A846" i="12"/>
  <c r="A847" i="12"/>
  <c r="A848" i="12"/>
  <c r="A849" i="12"/>
  <c r="A850" i="12"/>
  <c r="A851" i="12"/>
  <c r="A852" i="12"/>
  <c r="A853" i="12"/>
  <c r="A854" i="12"/>
  <c r="A855" i="12"/>
  <c r="A856" i="12"/>
  <c r="A857" i="12"/>
  <c r="A858" i="12"/>
  <c r="A859" i="12"/>
  <c r="A860" i="12"/>
  <c r="A861" i="12"/>
  <c r="A862" i="12"/>
  <c r="A863" i="12"/>
  <c r="A864" i="12"/>
  <c r="A865" i="12"/>
  <c r="A866" i="12"/>
  <c r="A867" i="12"/>
  <c r="A868" i="12"/>
  <c r="A869" i="12"/>
  <c r="A870" i="12"/>
  <c r="A871" i="12"/>
  <c r="A872" i="12"/>
  <c r="A873" i="12"/>
  <c r="A874" i="12"/>
  <c r="A875" i="12"/>
  <c r="A876" i="12"/>
  <c r="A877" i="12"/>
  <c r="A878" i="12"/>
  <c r="A879" i="12"/>
  <c r="A880" i="12"/>
  <c r="A881" i="12"/>
  <c r="A882" i="12"/>
  <c r="A883" i="12"/>
  <c r="A884" i="12"/>
  <c r="A885" i="12"/>
  <c r="A886" i="12"/>
  <c r="A887" i="12"/>
  <c r="A888" i="12"/>
  <c r="A889" i="12"/>
  <c r="A890" i="12"/>
  <c r="A891" i="12"/>
  <c r="A892" i="12"/>
  <c r="A893" i="12"/>
  <c r="A894" i="12"/>
  <c r="A895" i="12"/>
  <c r="A896" i="12"/>
  <c r="A897" i="12"/>
  <c r="A898" i="12"/>
  <c r="A899" i="12"/>
  <c r="A900" i="12"/>
  <c r="A901" i="12"/>
  <c r="A902" i="12"/>
  <c r="A903" i="12"/>
  <c r="A904" i="12"/>
  <c r="A905" i="12"/>
  <c r="A906" i="12"/>
  <c r="A907" i="12"/>
  <c r="A908" i="12"/>
  <c r="A909" i="12"/>
  <c r="A910" i="12"/>
  <c r="A911" i="12"/>
  <c r="A912" i="12"/>
  <c r="A913" i="12"/>
  <c r="A914" i="12"/>
  <c r="A915" i="12"/>
  <c r="A916" i="12"/>
  <c r="A917" i="12"/>
  <c r="A918" i="12"/>
  <c r="A919" i="12"/>
  <c r="A920" i="12"/>
  <c r="A921" i="12"/>
  <c r="A922" i="12"/>
  <c r="A923" i="12"/>
  <c r="A924" i="12"/>
  <c r="A925" i="12"/>
  <c r="A926" i="12"/>
  <c r="A927" i="12"/>
  <c r="A928" i="12"/>
  <c r="A929" i="12"/>
  <c r="A930" i="12"/>
  <c r="A931" i="12"/>
  <c r="A932" i="12"/>
  <c r="A933" i="12"/>
  <c r="A934" i="12"/>
  <c r="A935" i="12"/>
  <c r="A936" i="12"/>
  <c r="A937" i="12"/>
  <c r="A938" i="12"/>
  <c r="A939" i="12"/>
  <c r="A940" i="12"/>
  <c r="A941" i="12"/>
  <c r="A942" i="12"/>
  <c r="A943" i="12"/>
  <c r="A944" i="12"/>
  <c r="A945" i="12"/>
  <c r="A946" i="12"/>
  <c r="A947" i="12"/>
  <c r="A948" i="12"/>
  <c r="A949" i="12"/>
  <c r="A950" i="12"/>
  <c r="A951" i="12"/>
  <c r="A952" i="12"/>
  <c r="A953" i="12"/>
  <c r="A954" i="12"/>
  <c r="A955" i="12"/>
  <c r="A956" i="12"/>
  <c r="A957" i="12"/>
  <c r="A958" i="12"/>
  <c r="A959" i="12"/>
  <c r="A960" i="12"/>
  <c r="A961" i="12"/>
  <c r="A962" i="12"/>
  <c r="A963" i="12"/>
  <c r="A964" i="12"/>
  <c r="A965" i="12"/>
  <c r="A966" i="12"/>
  <c r="A967" i="12"/>
  <c r="A968" i="12"/>
  <c r="A969" i="12"/>
  <c r="A970" i="12"/>
  <c r="A971" i="12"/>
  <c r="A972" i="12"/>
  <c r="A973" i="12"/>
  <c r="A974" i="12"/>
  <c r="A975" i="12"/>
  <c r="A976" i="12"/>
  <c r="A977" i="12"/>
  <c r="A978" i="12"/>
  <c r="A979" i="12"/>
  <c r="A980" i="12"/>
  <c r="A981" i="12"/>
  <c r="A982" i="12"/>
  <c r="A983" i="12"/>
  <c r="A984" i="12"/>
  <c r="A985" i="12"/>
  <c r="A986" i="12"/>
  <c r="A987" i="12"/>
  <c r="A988" i="12"/>
  <c r="A989" i="12"/>
  <c r="A990" i="12"/>
  <c r="A991" i="12"/>
  <c r="A992" i="12"/>
  <c r="A993" i="12"/>
  <c r="A994" i="12"/>
  <c r="A995" i="12"/>
  <c r="A996" i="12"/>
  <c r="A997" i="12"/>
  <c r="A998" i="12"/>
  <c r="A999" i="12"/>
  <c r="A1000" i="12"/>
  <c r="A9" i="12"/>
  <c r="C7" i="12"/>
  <c r="C6" i="12"/>
  <c r="M2" i="5"/>
  <c r="N125" i="5" a="1"/>
  <c r="N125" i="5"/>
  <c r="O125" i="5"/>
  <c r="P125" i="5"/>
  <c r="N111" i="5" a="1"/>
  <c r="N111" i="5"/>
  <c r="O111" i="5"/>
  <c r="P111" i="5"/>
  <c r="N103" i="5" a="1"/>
  <c r="N103" i="5"/>
  <c r="O103" i="5"/>
  <c r="P103" i="5"/>
  <c r="N95" i="5" a="1"/>
  <c r="N95" i="5"/>
  <c r="O95" i="5"/>
  <c r="P95" i="5"/>
  <c r="N87" i="5" a="1"/>
  <c r="N87" i="5"/>
  <c r="O87" i="5"/>
  <c r="P87" i="5"/>
  <c r="N79" i="5" a="1"/>
  <c r="N79" i="5"/>
  <c r="O79" i="5"/>
  <c r="P79" i="5"/>
  <c r="N71" i="5" a="1"/>
  <c r="N71" i="5"/>
  <c r="O71" i="5"/>
  <c r="P71" i="5"/>
  <c r="N63" i="5" a="1"/>
  <c r="N63" i="5"/>
  <c r="O63" i="5"/>
  <c r="P63" i="5"/>
  <c r="N55" i="5" a="1"/>
  <c r="N55" i="5"/>
  <c r="O55" i="5"/>
  <c r="P55" i="5"/>
  <c r="N47" i="5" a="1"/>
  <c r="N47" i="5"/>
  <c r="O47" i="5"/>
  <c r="P47" i="5"/>
  <c r="N39" i="5" a="1"/>
  <c r="N39" i="5"/>
  <c r="O39" i="5"/>
  <c r="P39" i="5"/>
  <c r="N31" i="5" a="1"/>
  <c r="N31" i="5"/>
  <c r="O31" i="5"/>
  <c r="P31" i="5"/>
  <c r="N23" i="5" a="1"/>
  <c r="N23" i="5"/>
  <c r="O23" i="5"/>
  <c r="P23" i="5"/>
  <c r="N15" i="5" a="1"/>
  <c r="N15" i="5"/>
  <c r="N7" i="5" a="1"/>
  <c r="N7" i="5"/>
  <c r="N198" i="5" a="1"/>
  <c r="N198" i="5"/>
  <c r="O198" i="5"/>
  <c r="P198" i="5"/>
  <c r="N190" i="5" a="1"/>
  <c r="N190" i="5"/>
  <c r="O190" i="5"/>
  <c r="P190" i="5"/>
  <c r="N182" i="5" a="1"/>
  <c r="N182" i="5"/>
  <c r="O182" i="5"/>
  <c r="P182" i="5"/>
  <c r="N174" i="5" a="1"/>
  <c r="N174" i="5"/>
  <c r="O174" i="5"/>
  <c r="P174" i="5"/>
  <c r="N166" i="5" a="1"/>
  <c r="N166" i="5"/>
  <c r="O166" i="5"/>
  <c r="P166" i="5"/>
  <c r="N158" i="5" a="1"/>
  <c r="N158" i="5"/>
  <c r="O158" i="5"/>
  <c r="P158" i="5"/>
  <c r="N150" i="5" a="1"/>
  <c r="N150" i="5"/>
  <c r="O150" i="5"/>
  <c r="P150" i="5"/>
  <c r="N142" i="5" a="1"/>
  <c r="N142" i="5"/>
  <c r="O142" i="5"/>
  <c r="P142" i="5"/>
  <c r="N134" i="5" a="1"/>
  <c r="N134" i="5"/>
  <c r="O134" i="5"/>
  <c r="P134" i="5"/>
  <c r="N126" i="5" a="1"/>
  <c r="N126" i="5"/>
  <c r="O126" i="5"/>
  <c r="P126" i="5"/>
  <c r="N118" i="5" a="1"/>
  <c r="N118" i="5"/>
  <c r="O118" i="5"/>
  <c r="P118" i="5"/>
  <c r="N112" i="5" a="1"/>
  <c r="N112" i="5"/>
  <c r="O112" i="5"/>
  <c r="P112" i="5"/>
  <c r="N104" i="5" a="1"/>
  <c r="N104" i="5"/>
  <c r="O104" i="5"/>
  <c r="P104" i="5"/>
  <c r="N96" i="5" a="1"/>
  <c r="N96" i="5"/>
  <c r="O96" i="5"/>
  <c r="P96" i="5"/>
  <c r="N88" i="5" a="1"/>
  <c r="N88" i="5"/>
  <c r="O88" i="5"/>
  <c r="P88" i="5"/>
  <c r="N80" i="5" a="1"/>
  <c r="N80" i="5"/>
  <c r="O80" i="5"/>
  <c r="P80" i="5"/>
  <c r="N72" i="5" a="1"/>
  <c r="N72" i="5"/>
  <c r="O72" i="5"/>
  <c r="P72" i="5"/>
  <c r="N64" i="5" a="1"/>
  <c r="N64" i="5"/>
  <c r="O64" i="5"/>
  <c r="P64" i="5"/>
  <c r="N56" i="5" a="1"/>
  <c r="N56" i="5"/>
  <c r="O56" i="5"/>
  <c r="P56" i="5"/>
  <c r="N48" i="5" a="1"/>
  <c r="N48" i="5"/>
  <c r="O48" i="5"/>
  <c r="P48" i="5"/>
  <c r="N40" i="5" a="1"/>
  <c r="N40" i="5"/>
  <c r="O40" i="5"/>
  <c r="P40" i="5"/>
  <c r="N32" i="5" a="1"/>
  <c r="N32" i="5"/>
  <c r="O32" i="5"/>
  <c r="P32" i="5"/>
  <c r="N24" i="5" a="1"/>
  <c r="N24" i="5"/>
  <c r="O24" i="5"/>
  <c r="P24" i="5"/>
  <c r="N16" i="5" a="1"/>
  <c r="N16" i="5"/>
  <c r="O16" i="5"/>
  <c r="P16" i="5"/>
  <c r="N8" i="5" a="1"/>
  <c r="N8" i="5"/>
  <c r="N199" i="5" a="1"/>
  <c r="N199" i="5"/>
  <c r="O199" i="5"/>
  <c r="P199" i="5"/>
  <c r="N191" i="5" a="1"/>
  <c r="N191" i="5"/>
  <c r="O191" i="5"/>
  <c r="P191" i="5"/>
  <c r="N183" i="5" a="1"/>
  <c r="N183" i="5"/>
  <c r="O183" i="5"/>
  <c r="P183" i="5"/>
  <c r="N175" i="5" a="1"/>
  <c r="N175" i="5"/>
  <c r="O175" i="5"/>
  <c r="P175" i="5"/>
  <c r="N167" i="5" a="1"/>
  <c r="N167" i="5"/>
  <c r="O167" i="5"/>
  <c r="P167" i="5"/>
  <c r="N159" i="5" a="1"/>
  <c r="N159" i="5"/>
  <c r="O159" i="5"/>
  <c r="P159" i="5"/>
  <c r="N151" i="5" a="1"/>
  <c r="N151" i="5"/>
  <c r="O151" i="5"/>
  <c r="P151" i="5"/>
  <c r="N143" i="5" a="1"/>
  <c r="N143" i="5"/>
  <c r="O143" i="5"/>
  <c r="P143" i="5"/>
  <c r="N135" i="5" a="1"/>
  <c r="N135" i="5"/>
  <c r="O135" i="5"/>
  <c r="P135" i="5"/>
  <c r="N127" i="5" a="1"/>
  <c r="N127" i="5"/>
  <c r="O127" i="5"/>
  <c r="P127" i="5"/>
  <c r="N119" i="5" a="1"/>
  <c r="N119" i="5"/>
  <c r="O119" i="5"/>
  <c r="P119" i="5"/>
  <c r="N113" i="5" a="1"/>
  <c r="N113" i="5"/>
  <c r="O113" i="5"/>
  <c r="P113" i="5"/>
  <c r="N105" i="5" a="1"/>
  <c r="N105" i="5"/>
  <c r="O105" i="5"/>
  <c r="P105" i="5"/>
  <c r="N97" i="5" a="1"/>
  <c r="N97" i="5"/>
  <c r="O97" i="5"/>
  <c r="P97" i="5"/>
  <c r="N89" i="5" a="1"/>
  <c r="N89" i="5"/>
  <c r="O89" i="5"/>
  <c r="P89" i="5"/>
  <c r="N81" i="5" a="1"/>
  <c r="N81" i="5"/>
  <c r="O81" i="5"/>
  <c r="P81" i="5"/>
  <c r="N73" i="5" a="1"/>
  <c r="N73" i="5"/>
  <c r="O73" i="5"/>
  <c r="P73" i="5"/>
  <c r="N65" i="5" a="1"/>
  <c r="N65" i="5"/>
  <c r="O65" i="5"/>
  <c r="P65" i="5"/>
  <c r="N57" i="5" a="1"/>
  <c r="N57" i="5"/>
  <c r="O57" i="5"/>
  <c r="P57" i="5"/>
  <c r="N49" i="5" a="1"/>
  <c r="N49" i="5"/>
  <c r="O49" i="5"/>
  <c r="P49" i="5"/>
  <c r="N41" i="5" a="1"/>
  <c r="N41" i="5"/>
  <c r="O41" i="5"/>
  <c r="P41" i="5"/>
  <c r="N33" i="5" a="1"/>
  <c r="N33" i="5"/>
  <c r="O33" i="5"/>
  <c r="P33" i="5"/>
  <c r="N25" i="5" a="1"/>
  <c r="N25" i="5"/>
  <c r="O25" i="5"/>
  <c r="P25" i="5"/>
  <c r="N17" i="5" a="1"/>
  <c r="N17" i="5"/>
  <c r="O17" i="5"/>
  <c r="P17" i="5"/>
  <c r="N9" i="5" a="1"/>
  <c r="N9" i="5"/>
  <c r="N200" i="5" a="1"/>
  <c r="N200" i="5"/>
  <c r="O200" i="5"/>
  <c r="P200" i="5"/>
  <c r="N192" i="5" a="1"/>
  <c r="N192" i="5"/>
  <c r="O192" i="5"/>
  <c r="P192" i="5"/>
  <c r="N184" i="5" a="1"/>
  <c r="N184" i="5"/>
  <c r="O184" i="5"/>
  <c r="P184" i="5"/>
  <c r="N176" i="5" a="1"/>
  <c r="N176" i="5"/>
  <c r="O176" i="5"/>
  <c r="P176" i="5"/>
  <c r="N168" i="5" a="1"/>
  <c r="N168" i="5"/>
  <c r="O168" i="5"/>
  <c r="P168" i="5"/>
  <c r="N160" i="5" a="1"/>
  <c r="N160" i="5"/>
  <c r="O160" i="5"/>
  <c r="P160" i="5"/>
  <c r="N152" i="5" a="1"/>
  <c r="N152" i="5"/>
  <c r="O152" i="5"/>
  <c r="P152" i="5"/>
  <c r="N144" i="5" a="1"/>
  <c r="N144" i="5"/>
  <c r="O144" i="5"/>
  <c r="P144" i="5"/>
  <c r="N136" i="5" a="1"/>
  <c r="N136" i="5"/>
  <c r="O136" i="5"/>
  <c r="P136" i="5"/>
  <c r="N128" i="5" a="1"/>
  <c r="N128" i="5"/>
  <c r="O128" i="5"/>
  <c r="P128" i="5"/>
  <c r="N120" i="5" a="1"/>
  <c r="N120" i="5"/>
  <c r="O120" i="5"/>
  <c r="P120" i="5"/>
  <c r="N114" i="5" a="1"/>
  <c r="N114" i="5"/>
  <c r="O114" i="5"/>
  <c r="P114" i="5"/>
  <c r="N106" i="5" a="1"/>
  <c r="N106" i="5"/>
  <c r="O106" i="5"/>
  <c r="P106" i="5"/>
  <c r="N98" i="5" a="1"/>
  <c r="N98" i="5"/>
  <c r="O98" i="5"/>
  <c r="P98" i="5"/>
  <c r="N90" i="5" a="1"/>
  <c r="N90" i="5"/>
  <c r="O90" i="5"/>
  <c r="P90" i="5"/>
  <c r="N82" i="5" a="1"/>
  <c r="N82" i="5"/>
  <c r="O82" i="5"/>
  <c r="P82" i="5"/>
  <c r="N74" i="5" a="1"/>
  <c r="N74" i="5"/>
  <c r="O74" i="5"/>
  <c r="P74" i="5"/>
  <c r="N66" i="5" a="1"/>
  <c r="N66" i="5"/>
  <c r="O66" i="5"/>
  <c r="P66" i="5"/>
  <c r="N58" i="5" a="1"/>
  <c r="N58" i="5"/>
  <c r="O58" i="5"/>
  <c r="P58" i="5"/>
  <c r="N50" i="5" a="1"/>
  <c r="N50" i="5"/>
  <c r="O50" i="5"/>
  <c r="P50" i="5"/>
  <c r="N42" i="5" a="1"/>
  <c r="N42" i="5"/>
  <c r="O42" i="5"/>
  <c r="P42" i="5"/>
  <c r="N34" i="5" a="1"/>
  <c r="N34" i="5"/>
  <c r="O34" i="5"/>
  <c r="P34" i="5"/>
  <c r="N26" i="5" a="1"/>
  <c r="N26" i="5"/>
  <c r="O26" i="5"/>
  <c r="P26" i="5"/>
  <c r="N18" i="5" a="1"/>
  <c r="N18" i="5"/>
  <c r="O18" i="5"/>
  <c r="P18" i="5"/>
  <c r="N10" i="5" a="1"/>
  <c r="N10" i="5"/>
  <c r="N201" i="5" a="1"/>
  <c r="N201" i="5"/>
  <c r="O201" i="5"/>
  <c r="P201" i="5"/>
  <c r="N193" i="5" a="1"/>
  <c r="N193" i="5"/>
  <c r="O193" i="5"/>
  <c r="P193" i="5"/>
  <c r="N185" i="5" a="1"/>
  <c r="N185" i="5"/>
  <c r="O185" i="5"/>
  <c r="P185" i="5"/>
  <c r="N177" i="5" a="1"/>
  <c r="N177" i="5"/>
  <c r="O177" i="5"/>
  <c r="P177" i="5"/>
  <c r="N169" i="5" a="1"/>
  <c r="N169" i="5"/>
  <c r="O169" i="5"/>
  <c r="P169" i="5"/>
  <c r="N161" i="5" a="1"/>
  <c r="N161" i="5"/>
  <c r="O161" i="5"/>
  <c r="P161" i="5"/>
  <c r="N153" i="5" a="1"/>
  <c r="N153" i="5"/>
  <c r="O153" i="5"/>
  <c r="P153" i="5"/>
  <c r="N145" i="5" a="1"/>
  <c r="N145" i="5"/>
  <c r="O145" i="5"/>
  <c r="P145" i="5"/>
  <c r="N137" i="5" a="1"/>
  <c r="N137" i="5"/>
  <c r="O137" i="5"/>
  <c r="P137" i="5"/>
  <c r="N129" i="5" a="1"/>
  <c r="N129" i="5"/>
  <c r="O129" i="5"/>
  <c r="P129" i="5"/>
  <c r="N121" i="5" a="1"/>
  <c r="N121" i="5"/>
  <c r="O121" i="5"/>
  <c r="P121" i="5"/>
  <c r="N115" i="5" a="1"/>
  <c r="N115" i="5"/>
  <c r="O115" i="5"/>
  <c r="P115" i="5"/>
  <c r="N107" i="5" a="1"/>
  <c r="N107" i="5"/>
  <c r="O107" i="5"/>
  <c r="P107" i="5"/>
  <c r="N99" i="5" a="1"/>
  <c r="N99" i="5"/>
  <c r="O99" i="5"/>
  <c r="P99" i="5"/>
  <c r="N91" i="5" a="1"/>
  <c r="N91" i="5"/>
  <c r="O91" i="5"/>
  <c r="P91" i="5"/>
  <c r="N83" i="5" a="1"/>
  <c r="N83" i="5"/>
  <c r="O83" i="5"/>
  <c r="P83" i="5"/>
  <c r="N75" i="5" a="1"/>
  <c r="N75" i="5"/>
  <c r="O75" i="5"/>
  <c r="P75" i="5"/>
  <c r="N67" i="5" a="1"/>
  <c r="N67" i="5"/>
  <c r="O67" i="5"/>
  <c r="P67" i="5"/>
  <c r="N59" i="5" a="1"/>
  <c r="N59" i="5"/>
  <c r="O59" i="5"/>
  <c r="P59" i="5"/>
  <c r="N51" i="5" a="1"/>
  <c r="N51" i="5"/>
  <c r="O51" i="5"/>
  <c r="P51" i="5"/>
  <c r="N43" i="5" a="1"/>
  <c r="N43" i="5"/>
  <c r="O43" i="5"/>
  <c r="P43" i="5"/>
  <c r="N35" i="5" a="1"/>
  <c r="N35" i="5"/>
  <c r="O35" i="5"/>
  <c r="P35" i="5"/>
  <c r="N27" i="5" a="1"/>
  <c r="N27" i="5"/>
  <c r="O27" i="5"/>
  <c r="P27" i="5"/>
  <c r="N19" i="5" a="1"/>
  <c r="N19" i="5"/>
  <c r="O19" i="5"/>
  <c r="P19" i="5"/>
  <c r="N11" i="5" a="1"/>
  <c r="N11" i="5"/>
  <c r="N3" i="5" a="1"/>
  <c r="N3" i="5"/>
  <c r="N194" i="5" a="1"/>
  <c r="N194" i="5"/>
  <c r="O194" i="5"/>
  <c r="P194" i="5"/>
  <c r="N186" i="5" a="1"/>
  <c r="N186" i="5"/>
  <c r="O186" i="5"/>
  <c r="P186" i="5"/>
  <c r="N178" i="5" a="1"/>
  <c r="N178" i="5"/>
  <c r="O178" i="5"/>
  <c r="P178" i="5"/>
  <c r="N170" i="5" a="1"/>
  <c r="N170" i="5"/>
  <c r="O170" i="5"/>
  <c r="P170" i="5"/>
  <c r="N162" i="5" a="1"/>
  <c r="N162" i="5"/>
  <c r="O162" i="5"/>
  <c r="P162" i="5"/>
  <c r="N154" i="5" a="1"/>
  <c r="N154" i="5"/>
  <c r="O154" i="5"/>
  <c r="P154" i="5"/>
  <c r="N146" i="5" a="1"/>
  <c r="N146" i="5"/>
  <c r="O146" i="5"/>
  <c r="P146" i="5"/>
  <c r="N138" i="5" a="1"/>
  <c r="N138" i="5"/>
  <c r="O138" i="5"/>
  <c r="P138" i="5"/>
  <c r="N130" i="5" a="1"/>
  <c r="N130" i="5"/>
  <c r="O130" i="5"/>
  <c r="P130" i="5"/>
  <c r="N122" i="5" a="1"/>
  <c r="N122" i="5"/>
  <c r="O122" i="5"/>
  <c r="P122" i="5"/>
  <c r="N116" i="5" a="1"/>
  <c r="N116" i="5"/>
  <c r="O116" i="5"/>
  <c r="P116" i="5"/>
  <c r="N108" i="5" a="1"/>
  <c r="N108" i="5"/>
  <c r="O108" i="5"/>
  <c r="P108" i="5"/>
  <c r="N100" i="5" a="1"/>
  <c r="N100" i="5"/>
  <c r="O100" i="5"/>
  <c r="P100" i="5"/>
  <c r="N92" i="5" a="1"/>
  <c r="N92" i="5"/>
  <c r="O92" i="5"/>
  <c r="P92" i="5"/>
  <c r="N84" i="5" a="1"/>
  <c r="N84" i="5"/>
  <c r="O84" i="5"/>
  <c r="P84" i="5"/>
  <c r="N76" i="5" a="1"/>
  <c r="N76" i="5"/>
  <c r="O76" i="5"/>
  <c r="P76" i="5"/>
  <c r="N68" i="5" a="1"/>
  <c r="N68" i="5"/>
  <c r="O68" i="5"/>
  <c r="P68" i="5"/>
  <c r="N60" i="5" a="1"/>
  <c r="N60" i="5"/>
  <c r="O60" i="5"/>
  <c r="P60" i="5"/>
  <c r="N52" i="5" a="1"/>
  <c r="N52" i="5"/>
  <c r="O52" i="5"/>
  <c r="P52" i="5"/>
  <c r="N44" i="5" a="1"/>
  <c r="N44" i="5"/>
  <c r="O44" i="5"/>
  <c r="P44" i="5"/>
  <c r="N36" i="5" a="1"/>
  <c r="N36" i="5"/>
  <c r="O36" i="5"/>
  <c r="P36" i="5"/>
  <c r="N28" i="5" a="1"/>
  <c r="N28" i="5"/>
  <c r="O28" i="5"/>
  <c r="P28" i="5"/>
  <c r="N20" i="5" a="1"/>
  <c r="N20" i="5"/>
  <c r="O20" i="5"/>
  <c r="P20" i="5"/>
  <c r="N12" i="5" a="1"/>
  <c r="N12" i="5"/>
  <c r="N4" i="5" a="1"/>
  <c r="N4" i="5"/>
  <c r="N195" i="5" a="1"/>
  <c r="N195" i="5"/>
  <c r="O195" i="5"/>
  <c r="P195" i="5"/>
  <c r="N187" i="5" a="1"/>
  <c r="N187" i="5"/>
  <c r="O187" i="5"/>
  <c r="P187" i="5"/>
  <c r="N179" i="5" a="1"/>
  <c r="N179" i="5"/>
  <c r="O179" i="5"/>
  <c r="P179" i="5"/>
  <c r="N171" i="5" a="1"/>
  <c r="N171" i="5"/>
  <c r="O171" i="5"/>
  <c r="P171" i="5"/>
  <c r="N163" i="5" a="1"/>
  <c r="N163" i="5"/>
  <c r="O163" i="5"/>
  <c r="P163" i="5"/>
  <c r="N155" i="5" a="1"/>
  <c r="N155" i="5"/>
  <c r="O155" i="5"/>
  <c r="P155" i="5"/>
  <c r="N147" i="5" a="1"/>
  <c r="N147" i="5"/>
  <c r="O147" i="5"/>
  <c r="P147" i="5"/>
  <c r="N139" i="5" a="1"/>
  <c r="N139" i="5"/>
  <c r="O139" i="5"/>
  <c r="P139" i="5"/>
  <c r="N131" i="5" a="1"/>
  <c r="N131" i="5"/>
  <c r="O131" i="5"/>
  <c r="P131" i="5"/>
  <c r="N123" i="5" a="1"/>
  <c r="N123" i="5"/>
  <c r="O123" i="5"/>
  <c r="P123" i="5"/>
  <c r="N117" i="5" a="1"/>
  <c r="N117" i="5"/>
  <c r="O117" i="5"/>
  <c r="P117" i="5"/>
  <c r="N109" i="5" a="1"/>
  <c r="N109" i="5"/>
  <c r="O109" i="5"/>
  <c r="P109" i="5"/>
  <c r="N101" i="5" a="1"/>
  <c r="N101" i="5"/>
  <c r="O101" i="5"/>
  <c r="P101" i="5"/>
  <c r="N93" i="5" a="1"/>
  <c r="N93" i="5"/>
  <c r="O93" i="5"/>
  <c r="P93" i="5"/>
  <c r="N85" i="5" a="1"/>
  <c r="N85" i="5"/>
  <c r="O85" i="5"/>
  <c r="P85" i="5"/>
  <c r="N77" i="5" a="1"/>
  <c r="N77" i="5"/>
  <c r="O77" i="5"/>
  <c r="P77" i="5"/>
  <c r="N69" i="5" a="1"/>
  <c r="N69" i="5"/>
  <c r="O69" i="5"/>
  <c r="P69" i="5"/>
  <c r="N61" i="5" a="1"/>
  <c r="N61" i="5"/>
  <c r="O61" i="5"/>
  <c r="P61" i="5"/>
  <c r="N53" i="5" a="1"/>
  <c r="N53" i="5"/>
  <c r="O53" i="5"/>
  <c r="P53" i="5"/>
  <c r="N45" i="5" a="1"/>
  <c r="N45" i="5"/>
  <c r="O45" i="5"/>
  <c r="P45" i="5"/>
  <c r="N37" i="5" a="1"/>
  <c r="N37" i="5"/>
  <c r="O37" i="5"/>
  <c r="P37" i="5"/>
  <c r="N29" i="5" a="1"/>
  <c r="N29" i="5"/>
  <c r="O29" i="5"/>
  <c r="P29" i="5"/>
  <c r="N21" i="5" a="1"/>
  <c r="N21" i="5"/>
  <c r="O21" i="5"/>
  <c r="P21" i="5"/>
  <c r="N13" i="5" a="1"/>
  <c r="N13" i="5"/>
  <c r="N5" i="5" a="1"/>
  <c r="N5" i="5"/>
  <c r="N196" i="5" a="1"/>
  <c r="N196" i="5"/>
  <c r="O196" i="5"/>
  <c r="P196" i="5"/>
  <c r="N188" i="5" a="1"/>
  <c r="N188" i="5"/>
  <c r="O188" i="5"/>
  <c r="P188" i="5"/>
  <c r="N180" i="5" a="1"/>
  <c r="N180" i="5"/>
  <c r="O180" i="5"/>
  <c r="P180" i="5"/>
  <c r="N172" i="5" a="1"/>
  <c r="N172" i="5"/>
  <c r="O172" i="5"/>
  <c r="P172" i="5"/>
  <c r="N164" i="5" a="1"/>
  <c r="N164" i="5"/>
  <c r="O164" i="5"/>
  <c r="P164" i="5"/>
  <c r="N156" i="5" a="1"/>
  <c r="N156" i="5"/>
  <c r="O156" i="5"/>
  <c r="P156" i="5"/>
  <c r="N148" i="5" a="1"/>
  <c r="N148" i="5"/>
  <c r="O148" i="5"/>
  <c r="P148" i="5"/>
  <c r="N140" i="5" a="1"/>
  <c r="N140" i="5"/>
  <c r="O140" i="5"/>
  <c r="P140" i="5"/>
  <c r="N132" i="5" a="1"/>
  <c r="N132" i="5"/>
  <c r="O132" i="5"/>
  <c r="P132" i="5"/>
  <c r="N124" i="5" a="1"/>
  <c r="N124" i="5"/>
  <c r="O124" i="5"/>
  <c r="P124" i="5"/>
  <c r="N2" i="5" a="1"/>
  <c r="N2" i="5"/>
  <c r="N110" i="5" a="1"/>
  <c r="N110" i="5"/>
  <c r="O110" i="5"/>
  <c r="P110" i="5"/>
  <c r="N102" i="5" a="1"/>
  <c r="N102" i="5"/>
  <c r="O102" i="5"/>
  <c r="P102" i="5"/>
  <c r="N94" i="5" a="1"/>
  <c r="N94" i="5"/>
  <c r="O94" i="5"/>
  <c r="P94" i="5"/>
  <c r="N86" i="5" a="1"/>
  <c r="N86" i="5"/>
  <c r="O86" i="5"/>
  <c r="P86" i="5"/>
  <c r="N78" i="5" a="1"/>
  <c r="N78" i="5"/>
  <c r="O78" i="5"/>
  <c r="P78" i="5"/>
  <c r="N70" i="5" a="1"/>
  <c r="N70" i="5"/>
  <c r="O70" i="5"/>
  <c r="P70" i="5"/>
  <c r="N62" i="5" a="1"/>
  <c r="N62" i="5"/>
  <c r="O62" i="5"/>
  <c r="P62" i="5"/>
  <c r="N54" i="5" a="1"/>
  <c r="N54" i="5"/>
  <c r="O54" i="5"/>
  <c r="P54" i="5"/>
  <c r="N46" i="5" a="1"/>
  <c r="N46" i="5"/>
  <c r="O46" i="5"/>
  <c r="P46" i="5"/>
  <c r="N38" i="5" a="1"/>
  <c r="N38" i="5"/>
  <c r="O38" i="5"/>
  <c r="P38" i="5"/>
  <c r="N30" i="5" a="1"/>
  <c r="N30" i="5"/>
  <c r="O30" i="5"/>
  <c r="P30" i="5"/>
  <c r="N22" i="5" a="1"/>
  <c r="N22" i="5"/>
  <c r="O22" i="5"/>
  <c r="P22" i="5"/>
  <c r="N14" i="5" a="1"/>
  <c r="N14" i="5"/>
  <c r="N6" i="5" a="1"/>
  <c r="N6" i="5"/>
  <c r="N197" i="5" a="1"/>
  <c r="N197" i="5"/>
  <c r="O197" i="5"/>
  <c r="P197" i="5"/>
  <c r="N189" i="5" a="1"/>
  <c r="N189" i="5"/>
  <c r="O189" i="5"/>
  <c r="P189" i="5"/>
  <c r="N181" i="5" a="1"/>
  <c r="N181" i="5"/>
  <c r="O181" i="5"/>
  <c r="P181" i="5"/>
  <c r="N173" i="5" a="1"/>
  <c r="N173" i="5"/>
  <c r="O173" i="5"/>
  <c r="P173" i="5"/>
  <c r="N165" i="5" a="1"/>
  <c r="N165" i="5"/>
  <c r="O165" i="5"/>
  <c r="P165" i="5"/>
  <c r="N157" i="5" a="1"/>
  <c r="N157" i="5"/>
  <c r="O157" i="5"/>
  <c r="P157" i="5"/>
  <c r="N149" i="5" a="1"/>
  <c r="N149" i="5"/>
  <c r="O149" i="5"/>
  <c r="P149" i="5"/>
  <c r="N141" i="5" a="1"/>
  <c r="N141" i="5"/>
  <c r="O141" i="5"/>
  <c r="P141" i="5"/>
  <c r="N133" i="5" a="1"/>
  <c r="N133" i="5"/>
  <c r="O133" i="5"/>
  <c r="P133" i="5"/>
  <c r="O15" i="5"/>
  <c r="O14" i="5"/>
  <c r="O9" i="5"/>
  <c r="O4" i="5"/>
  <c r="O6" i="5"/>
  <c r="O7" i="5"/>
  <c r="O8" i="5"/>
  <c r="O12" i="5"/>
  <c r="O13" i="5"/>
  <c r="O10" i="5"/>
  <c r="O5" i="5"/>
  <c r="O3" i="5"/>
  <c r="O2" i="5"/>
  <c r="O11" i="5"/>
  <c r="P15" i="5"/>
  <c r="P14" i="5"/>
  <c r="P9" i="5"/>
  <c r="P6" i="5"/>
  <c r="P13" i="5"/>
  <c r="P10" i="5"/>
  <c r="P3" i="5"/>
  <c r="P12" i="5"/>
  <c r="P4" i="5"/>
  <c r="P8" i="5"/>
  <c r="P5" i="5"/>
  <c r="P2" i="5"/>
  <c r="P7" i="5"/>
  <c r="P11" i="5"/>
  <c r="R6" i="2"/>
  <c r="S5" i="2" a="1"/>
  <c r="S5" i="2"/>
  <c r="R5" i="2"/>
  <c r="I2" i="5"/>
  <c r="J5" i="5" a="1"/>
  <c r="J5" i="5"/>
  <c r="J128" i="5" a="1"/>
  <c r="J128" i="5"/>
  <c r="J136" i="5" a="1"/>
  <c r="J136" i="5"/>
  <c r="J144" i="5" a="1"/>
  <c r="J144" i="5"/>
  <c r="J152" i="5" a="1"/>
  <c r="J152" i="5"/>
  <c r="J192" i="5" a="1"/>
  <c r="J192" i="5"/>
  <c r="J200" i="5" a="1"/>
  <c r="J200" i="5"/>
  <c r="I1" i="5"/>
  <c r="F6" i="2"/>
  <c r="F7" i="2"/>
  <c r="F8" i="2"/>
  <c r="J5" i="9"/>
  <c r="K5" i="9"/>
  <c r="L5" i="9"/>
  <c r="B5" i="9"/>
  <c r="C5" i="9"/>
  <c r="D5" i="9"/>
  <c r="E5" i="9"/>
  <c r="F5" i="9"/>
  <c r="G5" i="9"/>
  <c r="H5" i="9"/>
  <c r="I5" i="9"/>
  <c r="A5" i="9"/>
  <c r="A2" i="9"/>
  <c r="C1" i="11"/>
  <c r="D10" i="11"/>
  <c r="B5" i="11"/>
  <c r="C5" i="11"/>
  <c r="B6" i="11"/>
  <c r="C6" i="11"/>
  <c r="B7" i="11"/>
  <c r="C7" i="11"/>
  <c r="B8" i="11"/>
  <c r="C8" i="11"/>
  <c r="B9" i="11"/>
  <c r="C9" i="11"/>
  <c r="B10" i="11"/>
  <c r="C10" i="11"/>
  <c r="B11" i="11"/>
  <c r="C11" i="11"/>
  <c r="B12" i="11"/>
  <c r="C12" i="11"/>
  <c r="B13" i="11"/>
  <c r="C13" i="11"/>
  <c r="B14" i="11"/>
  <c r="C14" i="11"/>
  <c r="B15" i="11"/>
  <c r="C15" i="11"/>
  <c r="B4" i="11"/>
  <c r="C4" i="11"/>
  <c r="F5" i="2"/>
  <c r="K9" i="9"/>
  <c r="F6" i="9"/>
  <c r="E9" i="9"/>
  <c r="B9" i="9"/>
  <c r="A9" i="9"/>
  <c r="B6" i="9"/>
  <c r="L9" i="9"/>
  <c r="G6" i="9"/>
  <c r="I9" i="9"/>
  <c r="D9" i="9"/>
  <c r="H9" i="9"/>
  <c r="A6" i="9"/>
  <c r="J6" i="9"/>
  <c r="L6" i="9"/>
  <c r="C6" i="9"/>
  <c r="K6" i="9"/>
  <c r="G9" i="9"/>
  <c r="I6" i="9"/>
  <c r="C9" i="9"/>
  <c r="F9" i="9"/>
  <c r="J9" i="9"/>
  <c r="D6" i="9"/>
  <c r="E6" i="9"/>
  <c r="H6" i="9"/>
  <c r="K128" i="5"/>
  <c r="L128" i="5"/>
  <c r="K136" i="5"/>
  <c r="L136" i="5"/>
  <c r="K144" i="5"/>
  <c r="L144" i="5"/>
  <c r="K152" i="5"/>
  <c r="L152" i="5"/>
  <c r="K192" i="5"/>
  <c r="L192" i="5"/>
  <c r="K200" i="5"/>
  <c r="L200" i="5"/>
  <c r="J160" i="5" a="1"/>
  <c r="J160" i="5"/>
  <c r="J27" i="5" a="1"/>
  <c r="J27" i="5"/>
  <c r="J168" i="5" a="1"/>
  <c r="J168" i="5"/>
  <c r="J50" i="5" a="1"/>
  <c r="J50" i="5"/>
  <c r="J176" i="5" a="1"/>
  <c r="J176" i="5"/>
  <c r="J91" i="5" a="1"/>
  <c r="J91" i="5"/>
  <c r="J184" i="5" a="1"/>
  <c r="J184" i="5"/>
  <c r="J114" i="5" a="1"/>
  <c r="J114" i="5"/>
  <c r="J73" i="5" a="1"/>
  <c r="J73" i="5"/>
  <c r="J197" i="5" a="1"/>
  <c r="J197" i="5"/>
  <c r="J189" i="5" a="1"/>
  <c r="J189" i="5"/>
  <c r="J181" i="5" a="1"/>
  <c r="J181" i="5"/>
  <c r="J173" i="5" a="1"/>
  <c r="J173" i="5"/>
  <c r="J165" i="5" a="1"/>
  <c r="J165" i="5"/>
  <c r="J157" i="5" a="1"/>
  <c r="J157" i="5"/>
  <c r="J149" i="5" a="1"/>
  <c r="J149" i="5"/>
  <c r="J141" i="5" a="1"/>
  <c r="J141" i="5"/>
  <c r="J133" i="5" a="1"/>
  <c r="J133" i="5"/>
  <c r="J125" i="5" a="1"/>
  <c r="J125" i="5"/>
  <c r="J106" i="5" a="1"/>
  <c r="J106" i="5"/>
  <c r="J83" i="5" a="1"/>
  <c r="J83" i="5"/>
  <c r="J65" i="5" a="1"/>
  <c r="J65" i="5"/>
  <c r="J42" i="5" a="1"/>
  <c r="J42" i="5"/>
  <c r="J19" i="5" a="1"/>
  <c r="J19" i="5"/>
  <c r="J198" i="5" a="1"/>
  <c r="J198" i="5"/>
  <c r="J190" i="5" a="1"/>
  <c r="J190" i="5"/>
  <c r="J182" i="5" a="1"/>
  <c r="J182" i="5"/>
  <c r="J174" i="5" a="1"/>
  <c r="J174" i="5"/>
  <c r="J166" i="5" a="1"/>
  <c r="J166" i="5"/>
  <c r="J158" i="5" a="1"/>
  <c r="J158" i="5"/>
  <c r="J150" i="5" a="1"/>
  <c r="J150" i="5"/>
  <c r="J142" i="5" a="1"/>
  <c r="J142" i="5"/>
  <c r="J134" i="5" a="1"/>
  <c r="J134" i="5"/>
  <c r="J126" i="5" a="1"/>
  <c r="J126" i="5"/>
  <c r="J107" i="5" a="1"/>
  <c r="J107" i="5"/>
  <c r="J89" i="5" a="1"/>
  <c r="J89" i="5"/>
  <c r="J66" i="5" a="1"/>
  <c r="J66" i="5"/>
  <c r="J43" i="5" a="1"/>
  <c r="J43" i="5"/>
  <c r="J25" i="5" a="1"/>
  <c r="J25" i="5"/>
  <c r="J199" i="5" a="1"/>
  <c r="J199" i="5"/>
  <c r="J191" i="5" a="1"/>
  <c r="J191" i="5"/>
  <c r="J183" i="5" a="1"/>
  <c r="J183" i="5"/>
  <c r="J175" i="5" a="1"/>
  <c r="J175" i="5"/>
  <c r="J167" i="5" a="1"/>
  <c r="J167" i="5"/>
  <c r="J159" i="5" a="1"/>
  <c r="J159" i="5"/>
  <c r="J151" i="5" a="1"/>
  <c r="J151" i="5"/>
  <c r="J143" i="5" a="1"/>
  <c r="J143" i="5"/>
  <c r="J135" i="5" a="1"/>
  <c r="J135" i="5"/>
  <c r="J127" i="5" a="1"/>
  <c r="J127" i="5"/>
  <c r="J113" i="5" a="1"/>
  <c r="J113" i="5"/>
  <c r="J90" i="5" a="1"/>
  <c r="J90" i="5"/>
  <c r="J67" i="5" a="1"/>
  <c r="J67" i="5"/>
  <c r="J49" i="5" a="1"/>
  <c r="J49" i="5"/>
  <c r="J26" i="5" a="1"/>
  <c r="J26" i="5"/>
  <c r="J201" i="5" a="1"/>
  <c r="J201" i="5"/>
  <c r="J193" i="5" a="1"/>
  <c r="J193" i="5"/>
  <c r="J185" i="5" a="1"/>
  <c r="J185" i="5"/>
  <c r="J177" i="5" a="1"/>
  <c r="J177" i="5"/>
  <c r="J169" i="5" a="1"/>
  <c r="J169" i="5"/>
  <c r="J161" i="5" a="1"/>
  <c r="J161" i="5"/>
  <c r="J153" i="5" a="1"/>
  <c r="J153" i="5"/>
  <c r="J145" i="5" a="1"/>
  <c r="J145" i="5"/>
  <c r="J137" i="5" a="1"/>
  <c r="J137" i="5"/>
  <c r="J129" i="5" a="1"/>
  <c r="J129" i="5"/>
  <c r="J115" i="5" a="1"/>
  <c r="J115" i="5"/>
  <c r="J97" i="5" a="1"/>
  <c r="J97" i="5"/>
  <c r="J74" i="5" a="1"/>
  <c r="J74" i="5"/>
  <c r="J51" i="5" a="1"/>
  <c r="J51" i="5"/>
  <c r="J33" i="5" a="1"/>
  <c r="J33" i="5"/>
  <c r="J9" i="5" a="1"/>
  <c r="J9" i="5"/>
  <c r="J194" i="5" a="1"/>
  <c r="J194" i="5"/>
  <c r="J186" i="5" a="1"/>
  <c r="J186" i="5"/>
  <c r="J178" i="5" a="1"/>
  <c r="J178" i="5"/>
  <c r="J170" i="5" a="1"/>
  <c r="J170" i="5"/>
  <c r="J162" i="5" a="1"/>
  <c r="J162" i="5"/>
  <c r="J154" i="5" a="1"/>
  <c r="J154" i="5"/>
  <c r="J146" i="5" a="1"/>
  <c r="J146" i="5"/>
  <c r="J138" i="5" a="1"/>
  <c r="J138" i="5"/>
  <c r="J130" i="5" a="1"/>
  <c r="J130" i="5"/>
  <c r="J121" i="5" a="1"/>
  <c r="J121" i="5"/>
  <c r="J98" i="5" a="1"/>
  <c r="J98" i="5"/>
  <c r="J75" i="5" a="1"/>
  <c r="J75" i="5"/>
  <c r="J57" i="5" a="1"/>
  <c r="J57" i="5"/>
  <c r="J34" i="5" a="1"/>
  <c r="J34" i="5"/>
  <c r="J11" i="5" a="1"/>
  <c r="J11" i="5"/>
  <c r="J195" i="5" a="1"/>
  <c r="J195" i="5"/>
  <c r="J187" i="5" a="1"/>
  <c r="J187" i="5"/>
  <c r="J179" i="5" a="1"/>
  <c r="J179" i="5"/>
  <c r="J171" i="5" a="1"/>
  <c r="J171" i="5"/>
  <c r="J163" i="5" a="1"/>
  <c r="J163" i="5"/>
  <c r="J155" i="5" a="1"/>
  <c r="J155" i="5"/>
  <c r="J147" i="5" a="1"/>
  <c r="J147" i="5"/>
  <c r="J139" i="5" a="1"/>
  <c r="J139" i="5"/>
  <c r="J131" i="5" a="1"/>
  <c r="J131" i="5"/>
  <c r="J122" i="5" a="1"/>
  <c r="J122" i="5"/>
  <c r="J99" i="5" a="1"/>
  <c r="J99" i="5"/>
  <c r="J81" i="5" a="1"/>
  <c r="J81" i="5"/>
  <c r="J58" i="5" a="1"/>
  <c r="J58" i="5"/>
  <c r="J35" i="5" a="1"/>
  <c r="J35" i="5"/>
  <c r="J17" i="5" a="1"/>
  <c r="J17" i="5"/>
  <c r="J196" i="5" a="1"/>
  <c r="J196" i="5"/>
  <c r="J188" i="5" a="1"/>
  <c r="J188" i="5"/>
  <c r="J180" i="5" a="1"/>
  <c r="J180" i="5"/>
  <c r="J172" i="5" a="1"/>
  <c r="J172" i="5"/>
  <c r="J164" i="5" a="1"/>
  <c r="J164" i="5"/>
  <c r="J156" i="5" a="1"/>
  <c r="J156" i="5"/>
  <c r="J148" i="5" a="1"/>
  <c r="J148" i="5"/>
  <c r="J140" i="5" a="1"/>
  <c r="J140" i="5"/>
  <c r="J132" i="5" a="1"/>
  <c r="J132" i="5"/>
  <c r="J123" i="5" a="1"/>
  <c r="J123" i="5"/>
  <c r="J105" i="5" a="1"/>
  <c r="J105" i="5"/>
  <c r="J82" i="5" a="1"/>
  <c r="J82" i="5"/>
  <c r="J59" i="5" a="1"/>
  <c r="J59" i="5"/>
  <c r="J41" i="5" a="1"/>
  <c r="J41" i="5"/>
  <c r="J18" i="5" a="1"/>
  <c r="J18" i="5"/>
  <c r="J120" i="5" a="1"/>
  <c r="J120" i="5"/>
  <c r="J112" i="5" a="1"/>
  <c r="J112" i="5"/>
  <c r="J104" i="5" a="1"/>
  <c r="J104" i="5"/>
  <c r="J96" i="5" a="1"/>
  <c r="J96" i="5"/>
  <c r="J88" i="5" a="1"/>
  <c r="J88" i="5"/>
  <c r="J80" i="5" a="1"/>
  <c r="J80" i="5"/>
  <c r="J72" i="5" a="1"/>
  <c r="J72" i="5"/>
  <c r="J64" i="5" a="1"/>
  <c r="J64" i="5"/>
  <c r="J56" i="5" a="1"/>
  <c r="J56" i="5"/>
  <c r="J48" i="5" a="1"/>
  <c r="J48" i="5"/>
  <c r="J40" i="5" a="1"/>
  <c r="J40" i="5"/>
  <c r="J32" i="5" a="1"/>
  <c r="J32" i="5"/>
  <c r="J24" i="5" a="1"/>
  <c r="J24" i="5"/>
  <c r="J16" i="5" a="1"/>
  <c r="J16" i="5"/>
  <c r="J8" i="5" a="1"/>
  <c r="J8" i="5"/>
  <c r="J10" i="5" a="1"/>
  <c r="J10" i="5"/>
  <c r="J124" i="5" a="1"/>
  <c r="J124" i="5"/>
  <c r="J116" i="5" a="1"/>
  <c r="J116" i="5"/>
  <c r="J108" i="5" a="1"/>
  <c r="J108" i="5"/>
  <c r="J100" i="5" a="1"/>
  <c r="J100" i="5"/>
  <c r="J92" i="5" a="1"/>
  <c r="J92" i="5"/>
  <c r="J84" i="5" a="1"/>
  <c r="J84" i="5"/>
  <c r="J76" i="5" a="1"/>
  <c r="J76" i="5"/>
  <c r="J68" i="5" a="1"/>
  <c r="J68" i="5"/>
  <c r="J60" i="5" a="1"/>
  <c r="J60" i="5"/>
  <c r="J52" i="5" a="1"/>
  <c r="J52" i="5"/>
  <c r="J44" i="5" a="1"/>
  <c r="J44" i="5"/>
  <c r="J36" i="5" a="1"/>
  <c r="J36" i="5"/>
  <c r="J28" i="5" a="1"/>
  <c r="J28" i="5"/>
  <c r="J20" i="5" a="1"/>
  <c r="J20" i="5"/>
  <c r="J12" i="5" a="1"/>
  <c r="J12" i="5"/>
  <c r="J2" i="5" a="1"/>
  <c r="J2" i="5"/>
  <c r="J117" i="5" a="1"/>
  <c r="J117" i="5"/>
  <c r="J109" i="5" a="1"/>
  <c r="J109" i="5"/>
  <c r="J101" i="5" a="1"/>
  <c r="J101" i="5"/>
  <c r="J93" i="5" a="1"/>
  <c r="J93" i="5"/>
  <c r="J85" i="5" a="1"/>
  <c r="J85" i="5"/>
  <c r="J77" i="5" a="1"/>
  <c r="J77" i="5"/>
  <c r="J69" i="5" a="1"/>
  <c r="J69" i="5"/>
  <c r="J61" i="5" a="1"/>
  <c r="J61" i="5"/>
  <c r="J53" i="5" a="1"/>
  <c r="J53" i="5"/>
  <c r="J45" i="5" a="1"/>
  <c r="J45" i="5"/>
  <c r="J37" i="5" a="1"/>
  <c r="J37" i="5"/>
  <c r="J29" i="5" a="1"/>
  <c r="J29" i="5"/>
  <c r="J21" i="5" a="1"/>
  <c r="J21" i="5"/>
  <c r="J13" i="5" a="1"/>
  <c r="J13" i="5"/>
  <c r="J3" i="5" a="1"/>
  <c r="J3" i="5"/>
  <c r="J118" i="5" a="1"/>
  <c r="J118" i="5"/>
  <c r="J110" i="5" a="1"/>
  <c r="J110" i="5"/>
  <c r="J102" i="5" a="1"/>
  <c r="J102" i="5"/>
  <c r="J94" i="5" a="1"/>
  <c r="J94" i="5"/>
  <c r="J86" i="5" a="1"/>
  <c r="J86" i="5"/>
  <c r="J78" i="5" a="1"/>
  <c r="J78" i="5"/>
  <c r="J70" i="5" a="1"/>
  <c r="J70" i="5"/>
  <c r="J62" i="5" a="1"/>
  <c r="J62" i="5"/>
  <c r="J54" i="5" a="1"/>
  <c r="J54" i="5"/>
  <c r="J46" i="5" a="1"/>
  <c r="J46" i="5"/>
  <c r="J38" i="5" a="1"/>
  <c r="J38" i="5"/>
  <c r="J30" i="5" a="1"/>
  <c r="J30" i="5"/>
  <c r="J22" i="5" a="1"/>
  <c r="J22" i="5"/>
  <c r="J14" i="5" a="1"/>
  <c r="J14" i="5"/>
  <c r="J6" i="5" a="1"/>
  <c r="J6" i="5"/>
  <c r="J119" i="5" a="1"/>
  <c r="J119" i="5"/>
  <c r="J111" i="5" a="1"/>
  <c r="J111" i="5"/>
  <c r="J103" i="5" a="1"/>
  <c r="J103" i="5"/>
  <c r="J95" i="5" a="1"/>
  <c r="J95" i="5"/>
  <c r="J87" i="5" a="1"/>
  <c r="J87" i="5"/>
  <c r="J79" i="5" a="1"/>
  <c r="J79" i="5"/>
  <c r="J71" i="5" a="1"/>
  <c r="J71" i="5"/>
  <c r="J63" i="5" a="1"/>
  <c r="J63" i="5"/>
  <c r="J55" i="5" a="1"/>
  <c r="J55" i="5"/>
  <c r="J47" i="5" a="1"/>
  <c r="J47" i="5"/>
  <c r="J39" i="5" a="1"/>
  <c r="J39" i="5"/>
  <c r="J31" i="5" a="1"/>
  <c r="J31" i="5"/>
  <c r="J23" i="5" a="1"/>
  <c r="J23" i="5"/>
  <c r="J15" i="5" a="1"/>
  <c r="J15" i="5"/>
  <c r="J7" i="5" a="1"/>
  <c r="J7" i="5"/>
  <c r="D11" i="11"/>
  <c r="J4" i="5" a="1"/>
  <c r="J4" i="5"/>
  <c r="D12" i="11"/>
  <c r="D13" i="11"/>
  <c r="D5" i="11"/>
  <c r="D4" i="11"/>
  <c r="D8" i="11"/>
  <c r="D14" i="11"/>
  <c r="D6" i="11"/>
  <c r="D9" i="11"/>
  <c r="D15" i="11"/>
  <c r="D7" i="11"/>
  <c r="C2" i="9"/>
  <c r="K4" i="5"/>
  <c r="K5" i="5"/>
  <c r="K39" i="5"/>
  <c r="L39" i="5"/>
  <c r="K103" i="5"/>
  <c r="L103" i="5"/>
  <c r="K46" i="5"/>
  <c r="L46" i="5"/>
  <c r="K110" i="5"/>
  <c r="L110" i="5"/>
  <c r="K53" i="5"/>
  <c r="L53" i="5"/>
  <c r="K117" i="5"/>
  <c r="L117" i="5"/>
  <c r="K60" i="5"/>
  <c r="L60" i="5"/>
  <c r="K124" i="5"/>
  <c r="L124" i="5"/>
  <c r="K56" i="5"/>
  <c r="L56" i="5"/>
  <c r="K120" i="5"/>
  <c r="L120" i="5"/>
  <c r="K140" i="5"/>
  <c r="L140" i="5"/>
  <c r="K17" i="5"/>
  <c r="L17" i="5"/>
  <c r="K147" i="5"/>
  <c r="L147" i="5"/>
  <c r="K34" i="5"/>
  <c r="L34" i="5"/>
  <c r="K154" i="5"/>
  <c r="L154" i="5"/>
  <c r="K51" i="5"/>
  <c r="L51" i="5"/>
  <c r="K161" i="5"/>
  <c r="L161" i="5"/>
  <c r="K67" i="5"/>
  <c r="L67" i="5"/>
  <c r="K167" i="5"/>
  <c r="L167" i="5"/>
  <c r="K89" i="5"/>
  <c r="L89" i="5"/>
  <c r="K174" i="5"/>
  <c r="L174" i="5"/>
  <c r="K106" i="5"/>
  <c r="L106" i="5"/>
  <c r="K181" i="5"/>
  <c r="L181" i="5"/>
  <c r="K50" i="5"/>
  <c r="L50" i="5"/>
  <c r="K31" i="5"/>
  <c r="L31" i="5"/>
  <c r="K95" i="5"/>
  <c r="L95" i="5"/>
  <c r="K38" i="5"/>
  <c r="L38" i="5"/>
  <c r="K102" i="5"/>
  <c r="L102" i="5"/>
  <c r="K45" i="5"/>
  <c r="L45" i="5"/>
  <c r="K109" i="5"/>
  <c r="L109" i="5"/>
  <c r="K52" i="5"/>
  <c r="L52" i="5"/>
  <c r="K116" i="5"/>
  <c r="L116" i="5"/>
  <c r="K48" i="5"/>
  <c r="L48" i="5"/>
  <c r="K112" i="5"/>
  <c r="L112" i="5"/>
  <c r="K132" i="5"/>
  <c r="L132" i="5"/>
  <c r="K196" i="5"/>
  <c r="L196" i="5"/>
  <c r="K139" i="5"/>
  <c r="L139" i="5"/>
  <c r="K146" i="5"/>
  <c r="L146" i="5"/>
  <c r="K33" i="5"/>
  <c r="L33" i="5"/>
  <c r="K153" i="5"/>
  <c r="L153" i="5"/>
  <c r="K49" i="5"/>
  <c r="L49" i="5"/>
  <c r="K159" i="5"/>
  <c r="L159" i="5"/>
  <c r="K66" i="5"/>
  <c r="L66" i="5"/>
  <c r="K166" i="5"/>
  <c r="L166" i="5"/>
  <c r="K83" i="5"/>
  <c r="L83" i="5"/>
  <c r="K173" i="5"/>
  <c r="L173" i="5"/>
  <c r="K176" i="5"/>
  <c r="L176" i="5"/>
  <c r="K11" i="5"/>
  <c r="K23" i="5"/>
  <c r="L23" i="5"/>
  <c r="K87" i="5"/>
  <c r="L87" i="5"/>
  <c r="K30" i="5"/>
  <c r="L30" i="5"/>
  <c r="K94" i="5"/>
  <c r="L94" i="5"/>
  <c r="K37" i="5"/>
  <c r="L37" i="5"/>
  <c r="K101" i="5"/>
  <c r="L101" i="5"/>
  <c r="K44" i="5"/>
  <c r="L44" i="5"/>
  <c r="K108" i="5"/>
  <c r="L108" i="5"/>
  <c r="K40" i="5"/>
  <c r="L40" i="5"/>
  <c r="K104" i="5"/>
  <c r="L104" i="5"/>
  <c r="K123" i="5"/>
  <c r="L123" i="5"/>
  <c r="K188" i="5"/>
  <c r="L188" i="5"/>
  <c r="K131" i="5"/>
  <c r="L131" i="5"/>
  <c r="K195" i="5"/>
  <c r="L195" i="5"/>
  <c r="K138" i="5"/>
  <c r="L138" i="5"/>
  <c r="K145" i="5"/>
  <c r="L145" i="5"/>
  <c r="K26" i="5"/>
  <c r="L26" i="5"/>
  <c r="K151" i="5"/>
  <c r="L151" i="5"/>
  <c r="K43" i="5"/>
  <c r="L43" i="5"/>
  <c r="K158" i="5"/>
  <c r="L158" i="5"/>
  <c r="K65" i="5"/>
  <c r="L65" i="5"/>
  <c r="K165" i="5"/>
  <c r="L165" i="5"/>
  <c r="K91" i="5"/>
  <c r="L91" i="5"/>
  <c r="K9" i="5"/>
  <c r="K15" i="5"/>
  <c r="L15" i="5"/>
  <c r="K79" i="5"/>
  <c r="L79" i="5"/>
  <c r="K22" i="5"/>
  <c r="L22" i="5"/>
  <c r="K86" i="5"/>
  <c r="L86" i="5"/>
  <c r="K29" i="5"/>
  <c r="L29" i="5"/>
  <c r="K93" i="5"/>
  <c r="L93" i="5"/>
  <c r="K36" i="5"/>
  <c r="L36" i="5"/>
  <c r="K100" i="5"/>
  <c r="L100" i="5"/>
  <c r="K32" i="5"/>
  <c r="L32" i="5"/>
  <c r="K96" i="5"/>
  <c r="L96" i="5"/>
  <c r="K105" i="5"/>
  <c r="L105" i="5"/>
  <c r="K180" i="5"/>
  <c r="L180" i="5"/>
  <c r="K122" i="5"/>
  <c r="L122" i="5"/>
  <c r="K187" i="5"/>
  <c r="L187" i="5"/>
  <c r="K130" i="5"/>
  <c r="L130" i="5"/>
  <c r="K194" i="5"/>
  <c r="L194" i="5"/>
  <c r="K137" i="5"/>
  <c r="L137" i="5"/>
  <c r="K201" i="5"/>
  <c r="L201" i="5"/>
  <c r="K143" i="5"/>
  <c r="L143" i="5"/>
  <c r="K25" i="5"/>
  <c r="L25" i="5"/>
  <c r="K150" i="5"/>
  <c r="L150" i="5"/>
  <c r="K42" i="5"/>
  <c r="L42" i="5"/>
  <c r="K157" i="5"/>
  <c r="L157" i="5"/>
  <c r="K184" i="5"/>
  <c r="L184" i="5"/>
  <c r="K71" i="5"/>
  <c r="L71" i="5"/>
  <c r="K14" i="5"/>
  <c r="K78" i="5"/>
  <c r="L78" i="5"/>
  <c r="K21" i="5"/>
  <c r="L21" i="5"/>
  <c r="K85" i="5"/>
  <c r="L85" i="5"/>
  <c r="K28" i="5"/>
  <c r="L28" i="5"/>
  <c r="K92" i="5"/>
  <c r="L92" i="5"/>
  <c r="K24" i="5"/>
  <c r="L24" i="5"/>
  <c r="K88" i="5"/>
  <c r="L88" i="5"/>
  <c r="K82" i="5"/>
  <c r="L82" i="5"/>
  <c r="K172" i="5"/>
  <c r="L172" i="5"/>
  <c r="K99" i="5"/>
  <c r="L99" i="5"/>
  <c r="K179" i="5"/>
  <c r="L179" i="5"/>
  <c r="K121" i="5"/>
  <c r="L121" i="5"/>
  <c r="K186" i="5"/>
  <c r="L186" i="5"/>
  <c r="K129" i="5"/>
  <c r="L129" i="5"/>
  <c r="K193" i="5"/>
  <c r="L193" i="5"/>
  <c r="K135" i="5"/>
  <c r="L135" i="5"/>
  <c r="K199" i="5"/>
  <c r="L199" i="5"/>
  <c r="K142" i="5"/>
  <c r="L142" i="5"/>
  <c r="K19" i="5"/>
  <c r="L19" i="5"/>
  <c r="K149" i="5"/>
  <c r="L149" i="5"/>
  <c r="K114" i="5"/>
  <c r="L114" i="5"/>
  <c r="K7" i="5"/>
  <c r="K63" i="5"/>
  <c r="L63" i="5"/>
  <c r="K70" i="5"/>
  <c r="L70" i="5"/>
  <c r="K77" i="5"/>
  <c r="L77" i="5"/>
  <c r="K20" i="5"/>
  <c r="L20" i="5"/>
  <c r="K84" i="5"/>
  <c r="L84" i="5"/>
  <c r="K16" i="5"/>
  <c r="L16" i="5"/>
  <c r="K80" i="5"/>
  <c r="L80" i="5"/>
  <c r="K59" i="5"/>
  <c r="L59" i="5"/>
  <c r="K164" i="5"/>
  <c r="L164" i="5"/>
  <c r="K81" i="5"/>
  <c r="L81" i="5"/>
  <c r="K171" i="5"/>
  <c r="L171" i="5"/>
  <c r="K98" i="5"/>
  <c r="L98" i="5"/>
  <c r="K178" i="5"/>
  <c r="L178" i="5"/>
  <c r="K115" i="5"/>
  <c r="L115" i="5"/>
  <c r="K185" i="5"/>
  <c r="L185" i="5"/>
  <c r="K127" i="5"/>
  <c r="L127" i="5"/>
  <c r="K191" i="5"/>
  <c r="L191" i="5"/>
  <c r="K134" i="5"/>
  <c r="L134" i="5"/>
  <c r="K198" i="5"/>
  <c r="L198" i="5"/>
  <c r="K141" i="5"/>
  <c r="L141" i="5"/>
  <c r="K73" i="5"/>
  <c r="L73" i="5"/>
  <c r="K160" i="5"/>
  <c r="L160" i="5"/>
  <c r="K6" i="5"/>
  <c r="K13" i="5"/>
  <c r="K55" i="5"/>
  <c r="L55" i="5"/>
  <c r="K119" i="5"/>
  <c r="L119" i="5"/>
  <c r="K62" i="5"/>
  <c r="L62" i="5"/>
  <c r="K69" i="5"/>
  <c r="L69" i="5"/>
  <c r="K76" i="5"/>
  <c r="L76" i="5"/>
  <c r="K72" i="5"/>
  <c r="L72" i="5"/>
  <c r="K41" i="5"/>
  <c r="L41" i="5"/>
  <c r="K156" i="5"/>
  <c r="L156" i="5"/>
  <c r="K58" i="5"/>
  <c r="L58" i="5"/>
  <c r="K163" i="5"/>
  <c r="L163" i="5"/>
  <c r="K75" i="5"/>
  <c r="L75" i="5"/>
  <c r="K170" i="5"/>
  <c r="L170" i="5"/>
  <c r="K97" i="5"/>
  <c r="L97" i="5"/>
  <c r="K177" i="5"/>
  <c r="L177" i="5"/>
  <c r="K113" i="5"/>
  <c r="L113" i="5"/>
  <c r="K183" i="5"/>
  <c r="L183" i="5"/>
  <c r="K126" i="5"/>
  <c r="L126" i="5"/>
  <c r="K190" i="5"/>
  <c r="L190" i="5"/>
  <c r="K133" i="5"/>
  <c r="L133" i="5"/>
  <c r="K197" i="5"/>
  <c r="L197" i="5"/>
  <c r="K27" i="5"/>
  <c r="L27" i="5"/>
  <c r="K3" i="5"/>
  <c r="K12" i="5"/>
  <c r="K8" i="5"/>
  <c r="K47" i="5"/>
  <c r="L47" i="5"/>
  <c r="K111" i="5"/>
  <c r="L111" i="5"/>
  <c r="K54" i="5"/>
  <c r="L54" i="5"/>
  <c r="K118" i="5"/>
  <c r="L118" i="5"/>
  <c r="K61" i="5"/>
  <c r="L61" i="5"/>
  <c r="K68" i="5"/>
  <c r="L68" i="5"/>
  <c r="K64" i="5"/>
  <c r="L64" i="5"/>
  <c r="K18" i="5"/>
  <c r="L18" i="5"/>
  <c r="K148" i="5"/>
  <c r="L148" i="5"/>
  <c r="K35" i="5"/>
  <c r="L35" i="5"/>
  <c r="K155" i="5"/>
  <c r="L155" i="5"/>
  <c r="K57" i="5"/>
  <c r="L57" i="5"/>
  <c r="K162" i="5"/>
  <c r="L162" i="5"/>
  <c r="K74" i="5"/>
  <c r="L74" i="5"/>
  <c r="K169" i="5"/>
  <c r="L169" i="5"/>
  <c r="K90" i="5"/>
  <c r="L90" i="5"/>
  <c r="K175" i="5"/>
  <c r="L175" i="5"/>
  <c r="K107" i="5"/>
  <c r="L107" i="5"/>
  <c r="K182" i="5"/>
  <c r="L182" i="5"/>
  <c r="K125" i="5"/>
  <c r="L125" i="5"/>
  <c r="K189" i="5"/>
  <c r="L189" i="5"/>
  <c r="K168" i="5"/>
  <c r="L168" i="5"/>
  <c r="K10" i="5"/>
  <c r="K2" i="5"/>
  <c r="L14" i="5"/>
  <c r="L2" i="5"/>
  <c r="L11" i="5"/>
  <c r="L9" i="5"/>
  <c r="L5" i="5"/>
  <c r="L10" i="5"/>
  <c r="L4" i="5"/>
  <c r="L7" i="5"/>
  <c r="L6" i="5"/>
  <c r="L13" i="5"/>
  <c r="L3" i="5"/>
  <c r="L12" i="5"/>
  <c r="L8" i="5"/>
</calcChain>
</file>

<file path=xl/sharedStrings.xml><?xml version="1.0" encoding="utf-8"?>
<sst xmlns="http://schemas.openxmlformats.org/spreadsheetml/2006/main" count="336" uniqueCount="107">
  <si>
    <t>x</t>
  </si>
  <si>
    <t>Req'd</t>
  </si>
  <si>
    <t>Test</t>
  </si>
  <si>
    <t>HIDE</t>
  </si>
  <si>
    <t>D5</t>
  </si>
  <si>
    <t>D6</t>
  </si>
  <si>
    <t>D7</t>
  </si>
  <si>
    <t>D8</t>
  </si>
  <si>
    <t>D9</t>
  </si>
  <si>
    <t>D10</t>
  </si>
  <si>
    <t>Field</t>
  </si>
  <si>
    <t>Column</t>
  </si>
  <si>
    <t>Value</t>
  </si>
  <si>
    <t>Start Column</t>
  </si>
  <si>
    <t>DB Row</t>
  </si>
  <si>
    <t>Mandatory Field Check</t>
  </si>
  <si>
    <t>Mand Fields</t>
  </si>
  <si>
    <t>HP</t>
  </si>
  <si>
    <t>Budhi Supriatna</t>
  </si>
  <si>
    <t>Dini</t>
  </si>
  <si>
    <t>Ma'ruf Hidayatullah</t>
  </si>
  <si>
    <t>Rini</t>
  </si>
  <si>
    <t>Nama Kontak Selaras Semesta</t>
  </si>
  <si>
    <t>Identitas Pembeli</t>
  </si>
  <si>
    <t>Nomor HP Kontak</t>
  </si>
  <si>
    <t>Nama Pembeli</t>
  </si>
  <si>
    <t>Jenis Kelamin</t>
  </si>
  <si>
    <t>Tanggal Lahir</t>
  </si>
  <si>
    <t>Alamat</t>
  </si>
  <si>
    <t>Nomor HP Pembeli</t>
  </si>
  <si>
    <t>WA</t>
  </si>
  <si>
    <t>Facebook</t>
  </si>
  <si>
    <t>Email</t>
  </si>
  <si>
    <t>Tanggal Bergabung</t>
  </si>
  <si>
    <t>Status</t>
  </si>
  <si>
    <t>Perempuan</t>
  </si>
  <si>
    <t>D11</t>
  </si>
  <si>
    <t>D12</t>
  </si>
  <si>
    <t>D13</t>
  </si>
  <si>
    <t>D14</t>
  </si>
  <si>
    <t>D15</t>
  </si>
  <si>
    <t>D16</t>
  </si>
  <si>
    <t>Reseller</t>
  </si>
  <si>
    <t>Konsumen</t>
  </si>
  <si>
    <t>User</t>
  </si>
  <si>
    <t>Laki-laki</t>
  </si>
  <si>
    <t>Parakan Saat</t>
  </si>
  <si>
    <t>List Pembeli</t>
  </si>
  <si>
    <t>Ani Herningsih</t>
  </si>
  <si>
    <t>Koperasi Karyawan TBG</t>
  </si>
  <si>
    <t>Ida Ayu Mustika Dewi</t>
  </si>
  <si>
    <t>Puteraco Gading Regency Kavling A1 No.13</t>
  </si>
  <si>
    <t>tikamusik@yahoo.com</t>
  </si>
  <si>
    <t>Pelema</t>
  </si>
  <si>
    <t>Waktu Lema</t>
  </si>
  <si>
    <t>Perumahan Permana Indah Jalan Jangkrik 1 No.72 RT 03/13 Citeureup Cimahi</t>
  </si>
  <si>
    <t>prayaarie@gmail.com</t>
  </si>
  <si>
    <t>https://www.facebook.com/praya.indrayana</t>
  </si>
  <si>
    <t>https://www.facebook.com/ida.dewi.3</t>
  </si>
  <si>
    <t>https://www.facebook.com/ani.herningsih</t>
  </si>
  <si>
    <t>Database 
Konsumen dan Reseller Sayuran Organik 
Kebun Selaras Semesta</t>
  </si>
  <si>
    <t>Praya Arie Indrayana</t>
  </si>
  <si>
    <t>Pilih Data</t>
  </si>
  <si>
    <t>Rini T</t>
  </si>
  <si>
    <t>https://www.facebook.com/rini.ks.5</t>
  </si>
  <si>
    <t>Cijambe</t>
  </si>
  <si>
    <t>Ifa</t>
  </si>
  <si>
    <t>Jingga Regency Ciwastra</t>
  </si>
  <si>
    <t>https://www.facebook.com/ifakho</t>
  </si>
  <si>
    <t>Winy</t>
  </si>
  <si>
    <t>Perumahan Riung Bandung</t>
  </si>
  <si>
    <t>https://www.facebook.com/winny.survianiza.7</t>
  </si>
  <si>
    <t>Ririn Soenaryani</t>
  </si>
  <si>
    <t>01 November 2017</t>
  </si>
  <si>
    <t>Nina Sintarijana</t>
  </si>
  <si>
    <t>Rini Widayanti</t>
  </si>
  <si>
    <t>Noviya Umiyatun</t>
  </si>
  <si>
    <t>Diar Marcelina</t>
  </si>
  <si>
    <t>Ullie Udhliyah</t>
  </si>
  <si>
    <t>Niken Puspita</t>
  </si>
  <si>
    <t>Mohammad Fatahillah Santosa</t>
  </si>
  <si>
    <t>Kantor TBG</t>
  </si>
  <si>
    <t xml:space="preserve">Asrama Anak </t>
  </si>
  <si>
    <t>Gading Timur</t>
  </si>
  <si>
    <t>Juju Sukmana</t>
  </si>
  <si>
    <t>Jalan Senam I No.8 Arcamanik</t>
  </si>
  <si>
    <t>Hesti</t>
  </si>
  <si>
    <t>Jalan Rancabolang Cluster D'Platinum 2 Kavling E No.1</t>
  </si>
  <si>
    <t>Ineu Widaningsih</t>
  </si>
  <si>
    <t>Jalan Salakadomas K3/11A Kompleks Cibaduyut Permai</t>
  </si>
  <si>
    <t>Komplek Neglasari I Jalan Neglawangi 31 Ujung Berung</t>
  </si>
  <si>
    <t>Tria Barmawi</t>
  </si>
  <si>
    <t>Lia</t>
  </si>
  <si>
    <t>Jalan Gulat No.5 Arcamanik</t>
  </si>
  <si>
    <t>https://www.facebook.com/srie.mulyasari.7</t>
  </si>
  <si>
    <t>Srie Mulyasari</t>
  </si>
  <si>
    <t>Jalan Tenis Meja No.38 Arcamanik</t>
  </si>
  <si>
    <t>Tita</t>
  </si>
  <si>
    <t>ListCariPembeli</t>
  </si>
  <si>
    <t>CariPembeli</t>
  </si>
  <si>
    <t>Cari Data Pembeli</t>
  </si>
  <si>
    <t>Jumlah Konsumen</t>
  </si>
  <si>
    <t>Jumlah Reseller</t>
  </si>
  <si>
    <t>Ahmad Baiquni</t>
  </si>
  <si>
    <t>Jalan Cinambo</t>
  </si>
  <si>
    <t>Lia Barra</t>
  </si>
  <si>
    <t>Kompleks Pasir Jati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</si>
</sst>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/dd/yyyy\ hh:mm:ss"/>
    <numFmt numFmtId="165" formatCode="&quot;0&quot;0"/>
    <numFmt numFmtId="166" formatCode="[$-F800]dddd\,\ mmmm\ dd\,\ yyyy"/>
  </numFmts>
  <fonts count="44" x14ac:knownFonts="1">
    <font>
      <sz val="12"/>
      <name val="Arial Narrow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b/>
      <sz val="16"/>
      <color indexed="12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9"/>
      <name val="Arial Narrow"/>
      <family val="2"/>
    </font>
    <font>
      <u/>
      <sz val="11"/>
      <color indexed="12"/>
      <name val="Arial Narrow"/>
      <family val="2"/>
    </font>
    <font>
      <sz val="10"/>
      <name val="Arial"/>
      <family val="2"/>
    </font>
    <font>
      <u/>
      <sz val="11"/>
      <color indexed="12"/>
      <name val="Calibri"/>
      <family val="2"/>
      <scheme val="minor"/>
    </font>
    <font>
      <u/>
      <sz val="11"/>
      <color theme="10"/>
      <name val="Arial Narrow"/>
      <family val="2"/>
    </font>
    <font>
      <sz val="9"/>
      <name val="Kartika"/>
      <family val="1"/>
    </font>
    <font>
      <sz val="9"/>
      <color theme="0"/>
      <name val="Kartika"/>
      <family val="1"/>
    </font>
    <font>
      <b/>
      <sz val="9"/>
      <color rgb="FFFF0000"/>
      <name val="Kartika"/>
      <family val="1"/>
    </font>
    <font>
      <b/>
      <sz val="9"/>
      <name val="Kartika"/>
      <family val="1"/>
    </font>
    <font>
      <sz val="9"/>
      <name val="Arial Narrow"/>
      <family val="2"/>
    </font>
    <font>
      <u/>
      <sz val="12"/>
      <color theme="10"/>
      <name val="Arial Narrow"/>
      <family val="2"/>
    </font>
    <font>
      <sz val="9"/>
      <color rgb="FF1D2129"/>
      <name val="Kartika"/>
      <family val="1"/>
    </font>
    <font>
      <sz val="12"/>
      <color theme="0"/>
      <name val="Arial Narrow"/>
      <family val="2"/>
    </font>
    <font>
      <sz val="9"/>
      <color theme="0" tint="-4.9989318521683403E-2"/>
      <name val="Kartika"/>
      <family val="1"/>
    </font>
    <font>
      <b/>
      <sz val="10"/>
      <name val="Kartika"/>
      <family val="1"/>
    </font>
    <font>
      <sz val="12"/>
      <name val="Kartika"/>
      <family val="1"/>
    </font>
    <font>
      <sz val="10"/>
      <name val="Kartika"/>
      <family val="1"/>
    </font>
    <font>
      <u/>
      <sz val="9"/>
      <color theme="10"/>
      <name val="Kartika"/>
      <family val="1"/>
    </font>
    <font>
      <b/>
      <sz val="12"/>
      <name val="Kartika"/>
      <family val="1"/>
    </font>
    <font>
      <b/>
      <sz val="10"/>
      <color theme="0"/>
      <name val="Kartika"/>
      <family val="1"/>
    </font>
    <font>
      <b/>
      <sz val="9"/>
      <color theme="0"/>
      <name val="Kartika"/>
      <family val="1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double">
        <color theme="5" tint="0.59996337778862885"/>
      </left>
      <right style="double">
        <color theme="5" tint="0.59996337778862885"/>
      </right>
      <top style="double">
        <color theme="5" tint="0.59996337778862885"/>
      </top>
      <bottom style="double">
        <color theme="5" tint="0.59996337778862885"/>
      </bottom>
      <diagonal/>
    </border>
  </borders>
  <cellStyleXfs count="50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26" fillId="0" borderId="0" applyNumberFormat="0" applyFill="0" applyBorder="0" applyAlignment="0" applyProtection="0">
      <alignment horizontal="left" indent="1"/>
    </xf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5" fillId="0" borderId="0"/>
    <xf numFmtId="0" fontId="4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</cellStyleXfs>
  <cellXfs count="100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5" fillId="0" borderId="0" xfId="0" applyFont="1" applyFill="1"/>
    <xf numFmtId="0" fontId="0" fillId="24" borderId="0" xfId="0" applyFill="1" applyAlignment="1">
      <alignment horizontal="center"/>
    </xf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left"/>
    </xf>
    <xf numFmtId="0" fontId="0" fillId="0" borderId="1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/>
    <xf numFmtId="0" fontId="23" fillId="24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28" fillId="0" borderId="0" xfId="0" applyFont="1"/>
    <xf numFmtId="165" fontId="28" fillId="0" borderId="0" xfId="43" applyNumberFormat="1" applyFont="1"/>
    <xf numFmtId="165" fontId="28" fillId="0" borderId="0" xfId="43" quotePrefix="1" applyNumberFormat="1" applyFont="1"/>
    <xf numFmtId="165" fontId="0" fillId="0" borderId="0" xfId="0" applyNumberFormat="1"/>
    <xf numFmtId="165" fontId="2" fillId="0" borderId="0" xfId="0" applyNumberFormat="1" applyFont="1"/>
    <xf numFmtId="0" fontId="29" fillId="26" borderId="0" xfId="0" applyFont="1" applyFill="1" applyBorder="1" applyAlignment="1">
      <alignment horizontal="left" vertical="center" wrapText="1" indent="1"/>
    </xf>
    <xf numFmtId="0" fontId="1" fillId="0" borderId="0" xfId="0" applyFont="1"/>
    <xf numFmtId="0" fontId="28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8" fillId="0" borderId="0" xfId="0" applyFont="1" applyFill="1" applyAlignment="1">
      <alignment horizontal="left" vertical="center" indent="1"/>
    </xf>
    <xf numFmtId="164" fontId="28" fillId="0" borderId="0" xfId="0" applyNumberFormat="1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28" fillId="0" borderId="0" xfId="0" applyNumberFormat="1" applyFont="1" applyAlignment="1">
      <alignment horizontal="left" vertical="center" indent="1"/>
    </xf>
    <xf numFmtId="165" fontId="28" fillId="0" borderId="0" xfId="0" applyNumberFormat="1" applyFont="1" applyAlignment="1">
      <alignment horizontal="left" vertical="center" indent="1"/>
    </xf>
    <xf numFmtId="166" fontId="28" fillId="0" borderId="0" xfId="0" applyNumberFormat="1" applyFont="1" applyAlignment="1">
      <alignment horizontal="left" vertical="center" indent="1"/>
    </xf>
    <xf numFmtId="0" fontId="28" fillId="0" borderId="0" xfId="0" applyNumberFormat="1" applyFont="1" applyAlignment="1">
      <alignment horizontal="left" vertical="center" wrapText="1" indent="1"/>
    </xf>
    <xf numFmtId="0" fontId="0" fillId="25" borderId="13" xfId="0" applyFill="1" applyBorder="1" applyAlignment="1">
      <alignment horizontal="center"/>
    </xf>
    <xf numFmtId="0" fontId="28" fillId="0" borderId="15" xfId="0" applyNumberFormat="1" applyFont="1" applyFill="1" applyBorder="1" applyAlignment="1" applyProtection="1">
      <alignment horizontal="left" vertical="center" indent="1"/>
      <protection locked="0"/>
    </xf>
    <xf numFmtId="165" fontId="28" fillId="0" borderId="15" xfId="0" applyNumberFormat="1" applyFont="1" applyFill="1" applyBorder="1" applyAlignment="1" applyProtection="1">
      <alignment horizontal="left" vertical="center" indent="1"/>
      <protection locked="0"/>
    </xf>
    <xf numFmtId="0" fontId="28" fillId="0" borderId="15" xfId="0" applyFont="1" applyFill="1" applyBorder="1" applyAlignment="1" applyProtection="1">
      <alignment horizontal="left" vertical="center" indent="1"/>
      <protection locked="0"/>
    </xf>
    <xf numFmtId="1" fontId="28" fillId="0" borderId="15" xfId="0" applyNumberFormat="1" applyFont="1" applyFill="1" applyBorder="1" applyAlignment="1" applyProtection="1">
      <alignment horizontal="left" vertical="center" indent="1"/>
      <protection locked="0"/>
    </xf>
    <xf numFmtId="166" fontId="34" fillId="0" borderId="15" xfId="0" applyNumberFormat="1" applyFont="1" applyFill="1" applyBorder="1" applyAlignment="1">
      <alignment horizontal="left" indent="1"/>
    </xf>
    <xf numFmtId="165" fontId="28" fillId="0" borderId="15" xfId="0" applyNumberFormat="1" applyFont="1" applyFill="1" applyBorder="1" applyAlignment="1">
      <alignment horizontal="left" vertical="center" indent="1"/>
    </xf>
    <xf numFmtId="166" fontId="28" fillId="0" borderId="15" xfId="0" applyNumberFormat="1" applyFont="1" applyFill="1" applyBorder="1" applyAlignment="1">
      <alignment horizontal="left" vertical="center" indent="1"/>
    </xf>
    <xf numFmtId="0" fontId="28" fillId="0" borderId="15" xfId="0" applyFont="1" applyFill="1" applyBorder="1" applyAlignment="1">
      <alignment horizontal="left" vertical="center" indent="1"/>
    </xf>
    <xf numFmtId="0" fontId="28" fillId="0" borderId="14" xfId="0" applyFont="1" applyFill="1" applyBorder="1" applyAlignment="1">
      <alignment horizontal="right" vertical="center" wrapText="1" indent="1"/>
    </xf>
    <xf numFmtId="0" fontId="28" fillId="0" borderId="14" xfId="0" applyFont="1" applyBorder="1" applyAlignment="1">
      <alignment horizontal="right" vertical="center" indent="1"/>
    </xf>
    <xf numFmtId="0" fontId="28" fillId="0" borderId="14" xfId="0" applyFont="1" applyFill="1" applyBorder="1" applyAlignment="1">
      <alignment horizontal="right" vertical="center" wrapText="1" indent="2"/>
    </xf>
    <xf numFmtId="0" fontId="3" fillId="0" borderId="11" xfId="0" applyFont="1" applyFill="1" applyBorder="1"/>
    <xf numFmtId="0" fontId="0" fillId="0" borderId="11" xfId="0" applyFill="1" applyBorder="1"/>
    <xf numFmtId="0" fontId="35" fillId="26" borderId="0" xfId="0" applyFont="1" applyFill="1"/>
    <xf numFmtId="0" fontId="29" fillId="26" borderId="0" xfId="0" applyFont="1" applyFill="1" applyAlignment="1">
      <alignment horizontal="left" vertical="center" indent="1"/>
    </xf>
    <xf numFmtId="0" fontId="4" fillId="0" borderId="0" xfId="0" applyNumberFormat="1" applyFont="1" applyFill="1" applyBorder="1" applyAlignment="1" applyProtection="1">
      <alignment horizontal="left" indent="1"/>
      <protection locked="0"/>
    </xf>
    <xf numFmtId="0" fontId="28" fillId="0" borderId="0" xfId="0" applyFont="1" applyFill="1" applyBorder="1" applyAlignment="1">
      <alignment horizontal="left" vertical="center" wrapText="1" indent="1"/>
    </xf>
    <xf numFmtId="0" fontId="36" fillId="26" borderId="12" xfId="0" applyFont="1" applyFill="1" applyBorder="1" applyAlignment="1">
      <alignment horizontal="center" vertical="center"/>
    </xf>
    <xf numFmtId="0" fontId="36" fillId="26" borderId="12" xfId="0" applyNumberFormat="1" applyFont="1" applyFill="1" applyBorder="1" applyAlignment="1">
      <alignment horizontal="center" vertical="center" wrapText="1"/>
    </xf>
    <xf numFmtId="165" fontId="36" fillId="26" borderId="12" xfId="0" applyNumberFormat="1" applyFont="1" applyFill="1" applyBorder="1" applyAlignment="1">
      <alignment horizontal="center" vertical="center" wrapText="1"/>
    </xf>
    <xf numFmtId="0" fontId="36" fillId="26" borderId="12" xfId="0" applyFont="1" applyFill="1" applyBorder="1" applyAlignment="1">
      <alignment horizontal="center" vertical="center" wrapText="1"/>
    </xf>
    <xf numFmtId="166" fontId="36" fillId="26" borderId="12" xfId="0" applyNumberFormat="1" applyFont="1" applyFill="1" applyBorder="1" applyAlignment="1">
      <alignment horizontal="center" vertical="center"/>
    </xf>
    <xf numFmtId="166" fontId="36" fillId="26" borderId="12" xfId="0" applyNumberFormat="1" applyFont="1" applyFill="1" applyBorder="1" applyAlignment="1">
      <alignment horizontal="center" vertical="center" wrapText="1"/>
    </xf>
    <xf numFmtId="0" fontId="37" fillId="0" borderId="0" xfId="0" applyFont="1" applyFill="1" applyAlignment="1">
      <alignment horizontal="center" vertical="center"/>
    </xf>
    <xf numFmtId="0" fontId="37" fillId="0" borderId="0" xfId="0" applyFont="1" applyFill="1" applyAlignment="1">
      <alignment horizontal="center" vertical="center" wrapText="1"/>
    </xf>
    <xf numFmtId="0" fontId="29" fillId="26" borderId="16" xfId="0" applyFont="1" applyFill="1" applyBorder="1" applyAlignment="1">
      <alignment horizontal="center"/>
    </xf>
    <xf numFmtId="0" fontId="31" fillId="0" borderId="16" xfId="0" applyFont="1" applyBorder="1"/>
    <xf numFmtId="0" fontId="28" fillId="0" borderId="16" xfId="0" applyFont="1" applyBorder="1"/>
    <xf numFmtId="0" fontId="28" fillId="0" borderId="16" xfId="0" applyFont="1" applyBorder="1" applyAlignment="1">
      <alignment horizontal="center"/>
    </xf>
    <xf numFmtId="0" fontId="28" fillId="0" borderId="16" xfId="0" applyFont="1" applyBorder="1" applyAlignment="1">
      <alignment horizontal="left"/>
    </xf>
    <xf numFmtId="0" fontId="29" fillId="26" borderId="16" xfId="0" applyFont="1" applyFill="1" applyBorder="1" applyAlignment="1">
      <alignment horizontal="center" vertical="center"/>
    </xf>
    <xf numFmtId="0" fontId="28" fillId="0" borderId="16" xfId="0" applyNumberFormat="1" applyFont="1" applyBorder="1" applyAlignment="1">
      <alignment horizontal="center" vertical="center"/>
    </xf>
    <xf numFmtId="165" fontId="28" fillId="0" borderId="16" xfId="0" applyNumberFormat="1" applyFont="1" applyBorder="1" applyAlignment="1">
      <alignment horizontal="center" vertical="center"/>
    </xf>
    <xf numFmtId="1" fontId="28" fillId="0" borderId="16" xfId="0" applyNumberFormat="1" applyFont="1" applyBorder="1" applyAlignment="1">
      <alignment horizontal="center" vertical="center"/>
    </xf>
    <xf numFmtId="166" fontId="28" fillId="0" borderId="16" xfId="0" applyNumberFormat="1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8" fillId="0" borderId="0" xfId="0" applyFont="1" applyFill="1"/>
    <xf numFmtId="0" fontId="29" fillId="26" borderId="16" xfId="0" applyNumberFormat="1" applyFont="1" applyFill="1" applyBorder="1" applyAlignment="1" applyProtection="1">
      <alignment horizontal="left" indent="1"/>
      <protection locked="0"/>
    </xf>
    <xf numFmtId="0" fontId="31" fillId="0" borderId="0" xfId="0" applyFont="1" applyFill="1" applyAlignment="1">
      <alignment horizontal="center" vertical="center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166" fontId="34" fillId="0" borderId="0" xfId="0" applyNumberFormat="1" applyFont="1" applyAlignment="1">
      <alignment horizontal="left" vertical="center" indent="1"/>
    </xf>
    <xf numFmtId="0" fontId="39" fillId="0" borderId="0" xfId="0" applyFont="1" applyAlignment="1">
      <alignment horizontal="left" vertical="center" indent="1"/>
    </xf>
    <xf numFmtId="0" fontId="40" fillId="0" borderId="0" xfId="49" applyFont="1" applyAlignment="1" applyProtection="1">
      <alignment horizontal="left" vertical="center" indent="1"/>
    </xf>
    <xf numFmtId="0" fontId="40" fillId="0" borderId="15" xfId="49" applyFont="1" applyFill="1" applyBorder="1" applyAlignment="1" applyProtection="1">
      <alignment horizontal="left" indent="1"/>
    </xf>
    <xf numFmtId="0" fontId="40" fillId="0" borderId="15" xfId="49" applyFont="1" applyFill="1" applyBorder="1" applyAlignment="1" applyProtection="1">
      <alignment horizontal="left" vertical="center" indent="1"/>
    </xf>
    <xf numFmtId="0" fontId="0" fillId="27" borderId="0" xfId="0" applyFill="1"/>
    <xf numFmtId="0" fontId="36" fillId="26" borderId="16" xfId="0" applyNumberFormat="1" applyFont="1" applyFill="1" applyBorder="1" applyAlignment="1">
      <alignment horizontal="center" vertical="center" wrapText="1"/>
    </xf>
    <xf numFmtId="0" fontId="36" fillId="26" borderId="16" xfId="0" applyFont="1" applyFill="1" applyBorder="1" applyAlignment="1">
      <alignment horizontal="center" vertical="center" wrapText="1"/>
    </xf>
    <xf numFmtId="0" fontId="29" fillId="27" borderId="16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Alignment="1">
      <alignment vertical="center"/>
    </xf>
    <xf numFmtId="0" fontId="37" fillId="0" borderId="0" xfId="0" applyFont="1" applyAlignment="1">
      <alignment horizontal="right" vertical="center"/>
    </xf>
    <xf numFmtId="0" fontId="29" fillId="0" borderId="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3" fillId="26" borderId="0" xfId="0" applyFont="1" applyFill="1" applyAlignment="1">
      <alignment horizontal="center"/>
    </xf>
    <xf numFmtId="165" fontId="43" fillId="26" borderId="0" xfId="43" applyNumberFormat="1" applyFont="1" applyFill="1" applyAlignment="1">
      <alignment horizontal="center"/>
    </xf>
    <xf numFmtId="0" fontId="29" fillId="27" borderId="16" xfId="0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left" vertical="center" indent="1"/>
    </xf>
    <xf numFmtId="0" fontId="39" fillId="0" borderId="0" xfId="0" applyFont="1" applyAlignment="1" applyProtection="1">
      <alignment horizontal="left" vertical="center" indent="1"/>
    </xf>
  </cellXfs>
  <cellStyles count="5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tx_Hyperlink" xfId="28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49" builtinId="8"/>
    <cellStyle name="Hyperlink 2" xfId="35"/>
    <cellStyle name="Hyperlink 2 2" xfId="36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0"/>
    <cellStyle name="Normal 2 2" xfId="41"/>
    <cellStyle name="Normal 2 3 2" xfId="42"/>
    <cellStyle name="Normal 3" xfId="43"/>
    <cellStyle name="Note" xfId="44" builtinId="10" customBuiltin="1"/>
    <cellStyle name="Output" xfId="45" builtinId="21" customBuiltin="1"/>
    <cellStyle name="Title" xfId="46" builtinId="15" customBuiltin="1"/>
    <cellStyle name="Total" xfId="47" builtinId="25" customBuiltin="1"/>
    <cellStyle name="Warning Text" xfId="48" builtinId="11" customBuiltin="1"/>
  </cellStyles>
  <dxfs count="4"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font>
        <color theme="0"/>
      </font>
      <fill>
        <patternFill>
          <bgColor theme="5"/>
        </patternFill>
      </fill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  <dxf>
      <border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DDDDD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161924</xdr:rowOff>
    </xdr:from>
    <xdr:to>
      <xdr:col>3</xdr:col>
      <xdr:colOff>61642</xdr:colOff>
      <xdr:row>2</xdr:row>
      <xdr:rowOff>219074</xdr:rowOff>
    </xdr:to>
    <xdr:pic>
      <xdr:nvPicPr>
        <xdr:cNvPr id="14" name="Picture 13" descr="Logo Selaras Semes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9075" y="161924"/>
          <a:ext cx="2252392" cy="9429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8</xdr:row>
      <xdr:rowOff>47625</xdr:rowOff>
    </xdr:from>
    <xdr:to>
      <xdr:col>9</xdr:col>
      <xdr:colOff>438150</xdr:colOff>
      <xdr:row>9</xdr:row>
      <xdr:rowOff>57150</xdr:rowOff>
    </xdr:to>
    <xdr:sp macro="[0]!ViewLogFirst" textlink="">
      <xdr:nvSpPr>
        <xdr:cNvPr id="3" name="Rounded Rectangle 2"/>
        <xdr:cNvSpPr/>
      </xdr:nvSpPr>
      <xdr:spPr>
        <a:xfrm>
          <a:off x="5953125" y="2457450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7</a:t>
          </a:r>
        </a:p>
      </xdr:txBody>
    </xdr:sp>
    <xdr:clientData/>
  </xdr:twoCellAnchor>
  <xdr:twoCellAnchor>
    <xdr:from>
      <xdr:col>9</xdr:col>
      <xdr:colOff>514350</xdr:colOff>
      <xdr:row>8</xdr:row>
      <xdr:rowOff>47625</xdr:rowOff>
    </xdr:from>
    <xdr:to>
      <xdr:col>9</xdr:col>
      <xdr:colOff>895350</xdr:colOff>
      <xdr:row>9</xdr:row>
      <xdr:rowOff>57150</xdr:rowOff>
    </xdr:to>
    <xdr:sp macro="[0]!ViewLogDown" textlink="">
      <xdr:nvSpPr>
        <xdr:cNvPr id="4" name="Rounded Rectangle 3"/>
        <xdr:cNvSpPr/>
      </xdr:nvSpPr>
      <xdr:spPr>
        <a:xfrm>
          <a:off x="6410325" y="2457450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3</a:t>
          </a:r>
        </a:p>
      </xdr:txBody>
    </xdr:sp>
    <xdr:clientData/>
  </xdr:twoCellAnchor>
  <xdr:twoCellAnchor>
    <xdr:from>
      <xdr:col>9</xdr:col>
      <xdr:colOff>971550</xdr:colOff>
      <xdr:row>8</xdr:row>
      <xdr:rowOff>47625</xdr:rowOff>
    </xdr:from>
    <xdr:to>
      <xdr:col>9</xdr:col>
      <xdr:colOff>1352550</xdr:colOff>
      <xdr:row>9</xdr:row>
      <xdr:rowOff>57150</xdr:rowOff>
    </xdr:to>
    <xdr:sp macro="[0]!ViewLogUp" textlink="">
      <xdr:nvSpPr>
        <xdr:cNvPr id="5" name="Rounded Rectangle 4"/>
        <xdr:cNvSpPr/>
      </xdr:nvSpPr>
      <xdr:spPr>
        <a:xfrm>
          <a:off x="6867525" y="2457450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4</a:t>
          </a:r>
        </a:p>
      </xdr:txBody>
    </xdr:sp>
    <xdr:clientData/>
  </xdr:twoCellAnchor>
  <xdr:twoCellAnchor>
    <xdr:from>
      <xdr:col>9</xdr:col>
      <xdr:colOff>1428750</xdr:colOff>
      <xdr:row>8</xdr:row>
      <xdr:rowOff>47625</xdr:rowOff>
    </xdr:from>
    <xdr:to>
      <xdr:col>9</xdr:col>
      <xdr:colOff>1809750</xdr:colOff>
      <xdr:row>9</xdr:row>
      <xdr:rowOff>57150</xdr:rowOff>
    </xdr:to>
    <xdr:sp macro="[0]!ViewLogLast" textlink="">
      <xdr:nvSpPr>
        <xdr:cNvPr id="6" name="Rounded Rectangle 5"/>
        <xdr:cNvSpPr/>
      </xdr:nvSpPr>
      <xdr:spPr>
        <a:xfrm>
          <a:off x="7324725" y="2457450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8</a:t>
          </a:r>
        </a:p>
      </xdr:txBody>
    </xdr:sp>
    <xdr:clientData/>
  </xdr:twoCellAnchor>
  <xdr:twoCellAnchor>
    <xdr:from>
      <xdr:col>9</xdr:col>
      <xdr:colOff>57150</xdr:colOff>
      <xdr:row>9</xdr:row>
      <xdr:rowOff>161925</xdr:rowOff>
    </xdr:from>
    <xdr:to>
      <xdr:col>9</xdr:col>
      <xdr:colOff>438750</xdr:colOff>
      <xdr:row>9</xdr:row>
      <xdr:rowOff>399525</xdr:rowOff>
    </xdr:to>
    <xdr:sp macro="[0]!UpdateLogWorksheet" textlink="">
      <xdr:nvSpPr>
        <xdr:cNvPr id="7" name="Rounded Rectangle 6"/>
        <xdr:cNvSpPr/>
      </xdr:nvSpPr>
      <xdr:spPr>
        <a:xfrm>
          <a:off x="5953125" y="2800350"/>
          <a:ext cx="381600" cy="237600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Kartika" pitchFamily="18" charset="0"/>
              <a:cs typeface="Kartika" pitchFamily="18" charset="0"/>
            </a:rPr>
            <a:t>+</a:t>
          </a:r>
        </a:p>
      </xdr:txBody>
    </xdr:sp>
    <xdr:clientData/>
  </xdr:twoCellAnchor>
  <xdr:twoCellAnchor>
    <xdr:from>
      <xdr:col>9</xdr:col>
      <xdr:colOff>1428750</xdr:colOff>
      <xdr:row>9</xdr:row>
      <xdr:rowOff>142875</xdr:rowOff>
    </xdr:from>
    <xdr:to>
      <xdr:col>9</xdr:col>
      <xdr:colOff>1810350</xdr:colOff>
      <xdr:row>9</xdr:row>
      <xdr:rowOff>380475</xdr:rowOff>
    </xdr:to>
    <xdr:sp macro="[0]!ClearDataEntry" textlink="">
      <xdr:nvSpPr>
        <xdr:cNvPr id="8" name="Rounded Rectangle 7"/>
        <xdr:cNvSpPr/>
      </xdr:nvSpPr>
      <xdr:spPr>
        <a:xfrm>
          <a:off x="7324725" y="2781300"/>
          <a:ext cx="381600" cy="237600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—</a:t>
          </a:r>
        </a:p>
      </xdr:txBody>
    </xdr:sp>
    <xdr:clientData/>
  </xdr:twoCellAnchor>
  <xdr:twoCellAnchor>
    <xdr:from>
      <xdr:col>9</xdr:col>
      <xdr:colOff>561975</xdr:colOff>
      <xdr:row>9</xdr:row>
      <xdr:rowOff>152400</xdr:rowOff>
    </xdr:from>
    <xdr:to>
      <xdr:col>9</xdr:col>
      <xdr:colOff>1317975</xdr:colOff>
      <xdr:row>9</xdr:row>
      <xdr:rowOff>390000</xdr:rowOff>
    </xdr:to>
    <xdr:sp macro="[0]!UpdateLogRecord" textlink="">
      <xdr:nvSpPr>
        <xdr:cNvPr id="9" name="Rounded Rectangle 8"/>
        <xdr:cNvSpPr/>
      </xdr:nvSpPr>
      <xdr:spPr>
        <a:xfrm>
          <a:off x="6457950" y="2790825"/>
          <a:ext cx="756000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Update</a:t>
          </a:r>
        </a:p>
      </xdr:txBody>
    </xdr:sp>
    <xdr:clientData/>
  </xdr:twoCellAnchor>
  <xdr:twoCellAnchor>
    <xdr:from>
      <xdr:col>9</xdr:col>
      <xdr:colOff>409575</xdr:colOff>
      <xdr:row>6</xdr:row>
      <xdr:rowOff>133351</xdr:rowOff>
    </xdr:from>
    <xdr:to>
      <xdr:col>9</xdr:col>
      <xdr:colOff>828675</xdr:colOff>
      <xdr:row>7</xdr:row>
      <xdr:rowOff>133351</xdr:rowOff>
    </xdr:to>
    <xdr:sp macro="" textlink="CurrRec">
      <xdr:nvSpPr>
        <xdr:cNvPr id="10" name="Rounded Rectangle 9"/>
        <xdr:cNvSpPr/>
      </xdr:nvSpPr>
      <xdr:spPr>
        <a:xfrm>
          <a:off x="6305550" y="2085976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42BF49AD-79F1-4D3D-942F-C32DFBEF8212}" type="TxLink">
            <a:rPr lang="en-US" sz="800" b="0" i="0" u="none" strike="noStrike">
              <a:solidFill>
                <a:srgbClr val="000000"/>
              </a:solidFill>
              <a:latin typeface="Kartika" panose="02020503030404060203" pitchFamily="18" charset="0"/>
              <a:cs typeface="Kartika" panose="02020503030404060203" pitchFamily="18" charset="0"/>
            </a:rPr>
            <a:pPr algn="ctr"/>
            <a:t>0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9</xdr:col>
      <xdr:colOff>761999</xdr:colOff>
      <xdr:row>6</xdr:row>
      <xdr:rowOff>133350</xdr:rowOff>
    </xdr:from>
    <xdr:to>
      <xdr:col>9</xdr:col>
      <xdr:colOff>1266824</xdr:colOff>
      <xdr:row>7</xdr:row>
      <xdr:rowOff>161925</xdr:rowOff>
    </xdr:to>
    <xdr:sp macro="" textlink="">
      <xdr:nvSpPr>
        <xdr:cNvPr id="11" name="Rounded Rectangle 10"/>
        <xdr:cNvSpPr/>
      </xdr:nvSpPr>
      <xdr:spPr>
        <a:xfrm>
          <a:off x="6657974" y="2085975"/>
          <a:ext cx="504825" cy="257175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dari</a:t>
          </a:r>
        </a:p>
      </xdr:txBody>
    </xdr:sp>
    <xdr:clientData/>
  </xdr:twoCellAnchor>
  <xdr:twoCellAnchor>
    <xdr:from>
      <xdr:col>9</xdr:col>
      <xdr:colOff>1190625</xdr:colOff>
      <xdr:row>6</xdr:row>
      <xdr:rowOff>133351</xdr:rowOff>
    </xdr:from>
    <xdr:to>
      <xdr:col>9</xdr:col>
      <xdr:colOff>1609725</xdr:colOff>
      <xdr:row>7</xdr:row>
      <xdr:rowOff>133351</xdr:rowOff>
    </xdr:to>
    <xdr:sp macro="" textlink="$R$6">
      <xdr:nvSpPr>
        <xdr:cNvPr id="12" name="Rounded Rectangle 11"/>
        <xdr:cNvSpPr/>
      </xdr:nvSpPr>
      <xdr:spPr>
        <a:xfrm>
          <a:off x="7086600" y="2085976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CC5D5ECE-830D-4A93-897C-10E4AB8F4547}" type="TxLink">
            <a:rPr lang="en-US" sz="900" b="0" i="0" u="none" strike="noStrike">
              <a:solidFill>
                <a:srgbClr val="000000"/>
              </a:solidFill>
              <a:latin typeface="Kartika"/>
              <a:cs typeface="Kartika"/>
            </a:rPr>
            <a:pPr algn="ctr"/>
            <a:t>26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7</xdr:col>
      <xdr:colOff>409575</xdr:colOff>
      <xdr:row>2</xdr:row>
      <xdr:rowOff>304799</xdr:rowOff>
    </xdr:from>
    <xdr:to>
      <xdr:col>11</xdr:col>
      <xdr:colOff>57150</xdr:colOff>
      <xdr:row>12</xdr:row>
      <xdr:rowOff>28574</xdr:rowOff>
    </xdr:to>
    <xdr:sp macro="" textlink="">
      <xdr:nvSpPr>
        <xdr:cNvPr id="13" name="Rectangle 12"/>
        <xdr:cNvSpPr/>
      </xdr:nvSpPr>
      <xdr:spPr>
        <a:xfrm>
          <a:off x="5610225" y="1190624"/>
          <a:ext cx="4286250" cy="26574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d-ID" sz="1100"/>
        </a:p>
      </xdr:txBody>
    </xdr:sp>
    <xdr:clientData/>
  </xdr:twoCellAnchor>
  <xdr:twoCellAnchor>
    <xdr:from>
      <xdr:col>9</xdr:col>
      <xdr:colOff>66674</xdr:colOff>
      <xdr:row>9</xdr:row>
      <xdr:rowOff>495300</xdr:rowOff>
    </xdr:from>
    <xdr:to>
      <xdr:col>9</xdr:col>
      <xdr:colOff>1828799</xdr:colOff>
      <xdr:row>10</xdr:row>
      <xdr:rowOff>9000</xdr:rowOff>
    </xdr:to>
    <xdr:sp macro="[0]!GoInventory" textlink="">
      <xdr:nvSpPr>
        <xdr:cNvPr id="15" name="Rounded Rectangle 14"/>
        <xdr:cNvSpPr/>
      </xdr:nvSpPr>
      <xdr:spPr>
        <a:xfrm>
          <a:off x="5962649" y="3133725"/>
          <a:ext cx="1762125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Lihat Database</a:t>
          </a:r>
        </a:p>
      </xdr:txBody>
    </xdr:sp>
    <xdr:clientData/>
  </xdr:twoCellAnchor>
  <xdr:twoCellAnchor>
    <xdr:from>
      <xdr:col>9</xdr:col>
      <xdr:colOff>57150</xdr:colOff>
      <xdr:row>10</xdr:row>
      <xdr:rowOff>85725</xdr:rowOff>
    </xdr:from>
    <xdr:to>
      <xdr:col>9</xdr:col>
      <xdr:colOff>1819275</xdr:colOff>
      <xdr:row>11</xdr:row>
      <xdr:rowOff>94725</xdr:rowOff>
    </xdr:to>
    <xdr:sp macro="[0]!Simpan" textlink="">
      <xdr:nvSpPr>
        <xdr:cNvPr id="21" name="Rounded Rectangle 20"/>
        <xdr:cNvSpPr/>
      </xdr:nvSpPr>
      <xdr:spPr>
        <a:xfrm>
          <a:off x="5953125" y="3448050"/>
          <a:ext cx="1762125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Simpan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6</xdr:col>
      <xdr:colOff>7620</xdr:colOff>
      <xdr:row>1</xdr:row>
      <xdr:rowOff>7620</xdr:rowOff>
    </xdr:to>
    <xdr:pic>
      <xdr:nvPicPr>
        <xdr:cNvPr id="1146" name="Picture 8" descr="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8240" y="54864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2</xdr:row>
      <xdr:rowOff>47625</xdr:rowOff>
    </xdr:from>
    <xdr:to>
      <xdr:col>5</xdr:col>
      <xdr:colOff>257175</xdr:colOff>
      <xdr:row>3</xdr:row>
      <xdr:rowOff>209550</xdr:rowOff>
    </xdr:to>
    <xdr:sp macro="[0]!Cari" textlink="">
      <xdr:nvSpPr>
        <xdr:cNvPr id="2" name="Rounded Rectangle 1"/>
        <xdr:cNvSpPr/>
      </xdr:nvSpPr>
      <xdr:spPr>
        <a:xfrm>
          <a:off x="6248400" y="714375"/>
          <a:ext cx="1181100" cy="381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Cari Data</a:t>
          </a:r>
          <a:endParaRPr lang="id-ID" sz="1100"/>
        </a:p>
      </xdr:txBody>
    </xdr:sp>
    <xdr:clientData/>
  </xdr:twoCellAnchor>
  <xdr:twoCellAnchor>
    <xdr:from>
      <xdr:col>5</xdr:col>
      <xdr:colOff>342900</xdr:colOff>
      <xdr:row>2</xdr:row>
      <xdr:rowOff>47625</xdr:rowOff>
    </xdr:from>
    <xdr:to>
      <xdr:col>6</xdr:col>
      <xdr:colOff>180975</xdr:colOff>
      <xdr:row>3</xdr:row>
      <xdr:rowOff>209550</xdr:rowOff>
    </xdr:to>
    <xdr:sp macro="[0]!Bersihkan" textlink="">
      <xdr:nvSpPr>
        <xdr:cNvPr id="3" name="Rounded Rectangle 2"/>
        <xdr:cNvSpPr/>
      </xdr:nvSpPr>
      <xdr:spPr>
        <a:xfrm>
          <a:off x="7515225" y="714375"/>
          <a:ext cx="1181100" cy="381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Bersihkan</a:t>
          </a:r>
          <a:endParaRPr lang="id-ID" sz="1100"/>
        </a:p>
      </xdr:txBody>
    </xdr:sp>
    <xdr:clientData/>
  </xdr:twoCellAnchor>
  <xdr:twoCellAnchor>
    <xdr:from>
      <xdr:col>2</xdr:col>
      <xdr:colOff>76200</xdr:colOff>
      <xdr:row>4</xdr:row>
      <xdr:rowOff>171450</xdr:rowOff>
    </xdr:from>
    <xdr:to>
      <xdr:col>2</xdr:col>
      <xdr:colOff>504825</xdr:colOff>
      <xdr:row>6</xdr:row>
      <xdr:rowOff>9525</xdr:rowOff>
    </xdr:to>
    <xdr:sp macro="" textlink="$C$6">
      <xdr:nvSpPr>
        <xdr:cNvPr id="4" name="Rounded Rectangle 3"/>
        <xdr:cNvSpPr/>
      </xdr:nvSpPr>
      <xdr:spPr>
        <a:xfrm>
          <a:off x="2257425" y="1276350"/>
          <a:ext cx="4286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E8BEA5B8-7A34-4E39-8FFD-DAFF5D7B1087}" type="TxLink">
            <a:rPr lang="id-ID" sz="1100"/>
            <a:pPr algn="ctr"/>
            <a:t>13</a:t>
          </a:fld>
          <a:endParaRPr lang="id-ID" sz="1100"/>
        </a:p>
      </xdr:txBody>
    </xdr:sp>
    <xdr:clientData/>
  </xdr:twoCellAnchor>
  <xdr:twoCellAnchor>
    <xdr:from>
      <xdr:col>2</xdr:col>
      <xdr:colOff>76200</xdr:colOff>
      <xdr:row>6</xdr:row>
      <xdr:rowOff>152400</xdr:rowOff>
    </xdr:from>
    <xdr:to>
      <xdr:col>2</xdr:col>
      <xdr:colOff>504825</xdr:colOff>
      <xdr:row>6</xdr:row>
      <xdr:rowOff>419100</xdr:rowOff>
    </xdr:to>
    <xdr:sp macro="" textlink="$C$7">
      <xdr:nvSpPr>
        <xdr:cNvPr id="5" name="Rounded Rectangle 4"/>
        <xdr:cNvSpPr/>
      </xdr:nvSpPr>
      <xdr:spPr>
        <a:xfrm>
          <a:off x="2257425" y="1685925"/>
          <a:ext cx="4286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28A0B6AE-0852-493C-8C5F-5A7ACECE9841}" type="TxLink">
            <a:rPr lang="id-ID" sz="1100"/>
            <a:pPr algn="ctr"/>
            <a:t>0</a:t>
          </a:fld>
          <a:endParaRPr lang="id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acebook.com/ida.dewi.3" TargetMode="External"/><Relationship Id="rId4" Type="http://schemas.openxmlformats.org/officeDocument/2006/relationships/hyperlink" Target="mailto:prayaarie@gmail.com" TargetMode="External"/><Relationship Id="rId5" Type="http://schemas.openxmlformats.org/officeDocument/2006/relationships/hyperlink" Target="mailto:tikamusik@yahoo.com" TargetMode="External"/><Relationship Id="rId6" Type="http://schemas.openxmlformats.org/officeDocument/2006/relationships/hyperlink" Target="https://www.facebook.com/rini.ks.5" TargetMode="External"/><Relationship Id="rId7" Type="http://schemas.openxmlformats.org/officeDocument/2006/relationships/hyperlink" Target="https://www.facebook.com/ifakho" TargetMode="External"/><Relationship Id="rId8" Type="http://schemas.openxmlformats.org/officeDocument/2006/relationships/hyperlink" Target="https://www.facebook.com/winny.survianiza.7" TargetMode="External"/><Relationship Id="rId9" Type="http://schemas.openxmlformats.org/officeDocument/2006/relationships/hyperlink" Target="https://www.facebook.com/srie.mulyasari.7" TargetMode="External"/><Relationship Id="rId10" Type="http://schemas.openxmlformats.org/officeDocument/2006/relationships/printerSettings" Target="../printerSettings/printerSettings2.bin"/><Relationship Id="rId11" Type="http://schemas.openxmlformats.org/officeDocument/2006/relationships/drawing" Target="../drawings/drawing2.xml"/><Relationship Id="rId1" Type="http://schemas.openxmlformats.org/officeDocument/2006/relationships/hyperlink" Target="http://facebook.com/ani.herningsih" TargetMode="External"/><Relationship Id="rId2" Type="http://schemas.openxmlformats.org/officeDocument/2006/relationships/hyperlink" Target="https://www.facebook.com/praya.indrayan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201"/>
  <sheetViews>
    <sheetView showGridLines="0" workbookViewId="0">
      <selection activeCell="D5" sqref="D5"/>
    </sheetView>
  </sheetViews>
  <sheetFormatPr baseColWidth="10" defaultColWidth="9" defaultRowHeight="16" x14ac:dyDescent="0.2"/>
  <cols>
    <col min="1" max="1" width="27.19921875" bestFit="1" customWidth="1"/>
    <col min="2" max="2" width="13.19921875" style="19" bestFit="1" customWidth="1"/>
    <col min="7" max="7" width="0" hidden="1" customWidth="1"/>
    <col min="8" max="8" width="10.19921875" hidden="1" customWidth="1"/>
    <col min="9" max="9" width="13.19921875" hidden="1" customWidth="1"/>
    <col min="10" max="10" width="18.796875" hidden="1" customWidth="1"/>
    <col min="11" max="11" width="0" hidden="1" customWidth="1"/>
    <col min="12" max="12" width="18.796875" hidden="1" customWidth="1"/>
    <col min="13" max="13" width="14.3984375" hidden="1" customWidth="1"/>
    <col min="14" max="14" width="18.796875" hidden="1" customWidth="1"/>
    <col min="15" max="18" width="0" hidden="1" customWidth="1"/>
  </cols>
  <sheetData>
    <row r="1" spans="1:16" ht="18" customHeight="1" x14ac:dyDescent="0.25">
      <c r="A1" s="95" t="s">
        <v>22</v>
      </c>
      <c r="B1" s="96" t="s">
        <v>17</v>
      </c>
      <c r="G1" s="22" t="s">
        <v>35</v>
      </c>
      <c r="H1" s="22" t="s">
        <v>42</v>
      </c>
      <c r="I1" s="19" t="e">
        <f ca="1">INDEX(HPKontak,MATCH(OrderID,DaftarKontak,0))</f>
        <v>#N/A</v>
      </c>
      <c r="J1" s="22" t="s">
        <v>47</v>
      </c>
      <c r="L1" s="22" t="s">
        <v>25</v>
      </c>
      <c r="N1" s="22" t="s">
        <v>98</v>
      </c>
      <c r="P1" s="22" t="s">
        <v>99</v>
      </c>
    </row>
    <row r="2" spans="1:16" ht="18" customHeight="1" x14ac:dyDescent="0.25">
      <c r="A2" s="16" t="s">
        <v>18</v>
      </c>
      <c r="B2" s="18">
        <v>81322260653</v>
      </c>
      <c r="G2" s="22" t="s">
        <v>45</v>
      </c>
      <c r="H2" s="22" t="s">
        <v>43</v>
      </c>
      <c r="I2">
        <f>Input!J5</f>
        <v>0</v>
      </c>
      <c r="J2" t="str">
        <f t="array" aca="1" ref="J2" ca="1">IFERROR(INDEX(DaftarPembeli,SMALL(IF(OrderIDList=$I$2,ROW(DaftarPembeli)-ROW(PartsData!E$2)+1),ROWS(PartsData!E$2:'PartsData'!E2))),"")</f>
        <v/>
      </c>
      <c r="K2" t="str">
        <f ca="1">IF(J2="","",COUNTIF(ListPembeli,"&lt;="&amp;$J2))</f>
        <v/>
      </c>
      <c r="L2" t="str">
        <f ca="1">IF(K2="","",INDEX(ListPembeli,MATCH(ROWS($K$2:$K2),$K$2:$K$201,0)))</f>
        <v/>
      </c>
      <c r="M2" t="str">
        <f>CariData!B4</f>
        <v>Budhi Supriatna</v>
      </c>
      <c r="N2" t="str">
        <f t="array" aca="1" ref="N2" ca="1">IFERROR(INDEX(DaftarPembeli,SMALL(IF(OrderIDList=$M$2,ROW(DaftarPembeli)-ROW(PartsData!I$2)+1),ROWS(PartsData!I$2:'PartsData'!I2))),"")</f>
        <v>Praya Arie Indrayana</v>
      </c>
      <c r="O2">
        <f ca="1">IF(N2="","",COUNTIF(ListCariPembeli,"&lt;="&amp;$N2))</f>
        <v>9</v>
      </c>
      <c r="P2" t="str">
        <f ca="1">IF(O2="","",INDEX(ListCariPembeli,MATCH(ROWS($O$2:$O2),$O$2:$O$201,0)))</f>
        <v>Ahmad Baiquni</v>
      </c>
    </row>
    <row r="3" spans="1:16" ht="18" customHeight="1" x14ac:dyDescent="0.25">
      <c r="A3" s="16" t="s">
        <v>19</v>
      </c>
      <c r="B3" s="18">
        <v>87722238877</v>
      </c>
      <c r="J3" t="str">
        <f t="array" aca="1" ref="J3" ca="1">IFERROR(INDEX(DaftarPembeli,SMALL(IF(OrderIDList=$I$2,ROW(DaftarPembeli)-ROW(PartsData!E$2)+1),ROWS(PartsData!E$2:'PartsData'!E3))),"")</f>
        <v/>
      </c>
      <c r="K3" t="str">
        <f ca="1">IF(J3="","",COUNTIF(ListPembeli,"&lt;="&amp;$J3))</f>
        <v/>
      </c>
      <c r="L3" t="str">
        <f ca="1">IF(K3="","",INDEX(ListPembeli,MATCH(ROWS($K$2:$K3),$K$2:$K$101,0)))</f>
        <v/>
      </c>
      <c r="N3" t="str">
        <f t="array" aca="1" ref="N3" ca="1">IFERROR(INDEX(DaftarPembeli,SMALL(IF(OrderIDList=$M$2,ROW(DaftarPembeli)-ROW(PartsData!I$2)+1),ROWS(PartsData!I$2:'PartsData'!I3))),"")</f>
        <v>Ani Herningsih</v>
      </c>
      <c r="O3">
        <f ca="1">IF(N3="","",COUNTIF(ListCariPembeli,"&lt;="&amp;$N3))</f>
        <v>2</v>
      </c>
      <c r="P3" t="str">
        <f ca="1">IF(O3="","",INDEX(ListCariPembeli,MATCH(ROWS($O$2:$O3),$O$2:$O$201,0)))</f>
        <v>Ani Herningsih</v>
      </c>
    </row>
    <row r="4" spans="1:16" ht="18" customHeight="1" x14ac:dyDescent="0.25">
      <c r="A4" s="16" t="s">
        <v>20</v>
      </c>
      <c r="B4" s="18">
        <v>89655913283</v>
      </c>
      <c r="J4" t="str">
        <f t="array" aca="1" ref="J4" ca="1">IFERROR(INDEX(DaftarPembeli,SMALL(IF(OrderIDList=$I$2,ROW(DaftarPembeli)-ROW(PartsData!E$2)+1),ROWS(PartsData!E$2:'PartsData'!E4))),"")</f>
        <v/>
      </c>
      <c r="K4" t="str">
        <f ca="1">IF(J4="","",COUNTIF(ListPembeli,"&lt;="&amp;$J4))</f>
        <v/>
      </c>
      <c r="L4" t="str">
        <f ca="1">IF(K4="","",INDEX(ListPembeli,MATCH(ROWS($K$2:$K4),$K$2:$K$101,0)))</f>
        <v/>
      </c>
      <c r="N4" t="str">
        <f t="array" aca="1" ref="N4" ca="1">IFERROR(INDEX(DaftarPembeli,SMALL(IF(OrderIDList=$M$2,ROW(DaftarPembeli)-ROW(PartsData!I$2)+1),ROWS(PartsData!I$2:'PartsData'!I4))),"")</f>
        <v>Rini T</v>
      </c>
      <c r="O4">
        <f ca="1">IF(N4="","",COUNTIF(ListCariPembeli,"&lt;="&amp;$N4))</f>
        <v>10</v>
      </c>
      <c r="P4" t="str">
        <f ca="1">IF(O4="","",INDEX(ListCariPembeli,MATCH(ROWS($O$2:$O4),$O$2:$O$201,0)))</f>
        <v>Hesti</v>
      </c>
    </row>
    <row r="5" spans="1:16" ht="18" customHeight="1" x14ac:dyDescent="0.25">
      <c r="A5" s="16" t="s">
        <v>49</v>
      </c>
      <c r="B5" s="17">
        <v>2287341165</v>
      </c>
      <c r="C5" s="11"/>
      <c r="J5" t="str">
        <f t="array" aca="1" ref="J5" ca="1">IFERROR(INDEX(DaftarPembeli,SMALL(IF(OrderIDList=$I$2,ROW(DaftarPembeli)-ROW(PartsData!E$2)+1),ROWS(PartsData!E$2:'PartsData'!E5))),"")</f>
        <v/>
      </c>
      <c r="K5" t="str">
        <f ca="1">IF(J5="","",COUNTIF(ListPembeli,"&lt;="&amp;$J5))</f>
        <v/>
      </c>
      <c r="L5" t="str">
        <f ca="1">IF(K5="","",INDEX(ListPembeli,MATCH(ROWS($K$2:$K5),$K$2:$K$101,0)))</f>
        <v/>
      </c>
      <c r="N5" t="str">
        <f t="array" aca="1" ref="N5" ca="1">IFERROR(INDEX(DaftarPembeli,SMALL(IF(OrderIDList=$M$2,ROW(DaftarPembeli)-ROW(PartsData!I$2)+1),ROWS(PartsData!I$2:'PartsData'!I5))),"")</f>
        <v>Ifa</v>
      </c>
      <c r="O5">
        <f ca="1">IF(N5="","",COUNTIF(ListCariPembeli,"&lt;="&amp;$N5))</f>
        <v>4</v>
      </c>
      <c r="P5" t="str">
        <f ca="1">IF(O5="","",INDEX(ListCariPembeli,MATCH(ROWS($O$2:$O5),$O$2:$O$201,0)))</f>
        <v>Ifa</v>
      </c>
    </row>
    <row r="6" spans="1:16" ht="18" customHeight="1" x14ac:dyDescent="0.25">
      <c r="A6" s="16" t="s">
        <v>21</v>
      </c>
      <c r="B6" s="17">
        <v>0</v>
      </c>
      <c r="J6" t="str">
        <f t="array" aca="1" ref="J6" ca="1">IFERROR(INDEX(DaftarPembeli,SMALL(IF(OrderIDList=$I$2,ROW(DaftarPembeli)-ROW(PartsData!E$2)+1),ROWS(PartsData!E$2:'PartsData'!E6))),"")</f>
        <v/>
      </c>
      <c r="K6" t="str">
        <f ca="1">IF(J6="","",COUNTIF(ListPembeli,"&lt;="&amp;$J6))</f>
        <v/>
      </c>
      <c r="L6" t="str">
        <f ca="1">IF(K6="","",INDEX(ListPembeli,MATCH(ROWS($K$2:$K6),$K$2:$K$101,0)))</f>
        <v/>
      </c>
      <c r="N6" t="str">
        <f t="array" aca="1" ref="N6" ca="1">IFERROR(INDEX(DaftarPembeli,SMALL(IF(OrderIDList=$M$2,ROW(DaftarPembeli)-ROW(PartsData!I$2)+1),ROWS(PartsData!I$2:'PartsData'!I6))),"")</f>
        <v>Winy</v>
      </c>
      <c r="O6">
        <f ca="1">IF(N6="","",COUNTIF(ListCariPembeli,"&lt;="&amp;$N6))</f>
        <v>14</v>
      </c>
      <c r="P6" t="str">
        <f ca="1">IF(O6="","",INDEX(ListCariPembeli,MATCH(ROWS($O$2:$O6),$O$2:$O$201,0)))</f>
        <v>Ineu Widaningsih</v>
      </c>
    </row>
    <row r="7" spans="1:16" ht="18" customHeight="1" x14ac:dyDescent="0.25">
      <c r="A7" s="16"/>
      <c r="B7" s="17"/>
      <c r="J7" t="str">
        <f t="array" aca="1" ref="J7" ca="1">IFERROR(INDEX(DaftarPembeli,SMALL(IF(OrderIDList=$I$2,ROW(DaftarPembeli)-ROW(PartsData!E$2)+1),ROWS(PartsData!E$2:'PartsData'!E7))),"")</f>
        <v/>
      </c>
      <c r="K7" t="str">
        <f ca="1">IF(J7="","",COUNTIF(ListPembeli,"&lt;="&amp;$J7))</f>
        <v/>
      </c>
      <c r="L7" t="str">
        <f ca="1">IF(K7="","",INDEX(ListPembeli,MATCH(ROWS($K$2:$K7),$K$2:$K$101,0)))</f>
        <v/>
      </c>
      <c r="N7" t="str">
        <f t="array" aca="1" ref="N7" ca="1">IFERROR(INDEX(DaftarPembeli,SMALL(IF(OrderIDList=$M$2,ROW(DaftarPembeli)-ROW(PartsData!I$2)+1),ROWS(PartsData!I$2:'PartsData'!I7))),"")</f>
        <v>Juju Sukmana</v>
      </c>
      <c r="O7">
        <f ca="1">IF(N7="","",COUNTIF(ListCariPembeli,"&lt;="&amp;$N7))</f>
        <v>6</v>
      </c>
      <c r="P7" t="str">
        <f ca="1">IF(O7="","",INDEX(ListCariPembeli,MATCH(ROWS($O$2:$O7),$O$2:$O$201,0)))</f>
        <v>Juju Sukmana</v>
      </c>
    </row>
    <row r="8" spans="1:16" ht="18" customHeight="1" x14ac:dyDescent="0.2">
      <c r="C8" s="11"/>
      <c r="J8" t="str">
        <f t="array" aca="1" ref="J8" ca="1">IFERROR(INDEX(DaftarPembeli,SMALL(IF(OrderIDList=$I$2,ROW(DaftarPembeli)-ROW(PartsData!E$2)+1),ROWS(PartsData!E$2:'PartsData'!E8))),"")</f>
        <v/>
      </c>
      <c r="K8" t="str">
        <f ca="1">IF(J8="","",COUNTIF(ListPembeli,"&lt;="&amp;$J8))</f>
        <v/>
      </c>
      <c r="L8" t="str">
        <f ca="1">IF(K8="","",INDEX(ListPembeli,MATCH(ROWS($K$2:$K8),$K$2:$K$101,0)))</f>
        <v/>
      </c>
      <c r="N8" t="str">
        <f t="array" aca="1" ref="N8" ca="1">IFERROR(INDEX(DaftarPembeli,SMALL(IF(OrderIDList=$M$2,ROW(DaftarPembeli)-ROW(PartsData!I$2)+1),ROWS(PartsData!I$2:'PartsData'!I8))),"")</f>
        <v>Hesti</v>
      </c>
      <c r="O8">
        <f ca="1">IF(N8="","",COUNTIF(ListCariPembeli,"&lt;="&amp;$N8))</f>
        <v>3</v>
      </c>
      <c r="P8" t="str">
        <f ca="1">IF(O8="","",INDEX(ListCariPembeli,MATCH(ROWS($O$2:$O8),$O$2:$O$201,0)))</f>
        <v>Lia</v>
      </c>
    </row>
    <row r="9" spans="1:16" ht="18" customHeight="1" x14ac:dyDescent="0.2">
      <c r="C9" s="12"/>
      <c r="J9" t="str">
        <f t="array" aca="1" ref="J9" ca="1">IFERROR(INDEX(DaftarPembeli,SMALL(IF(OrderIDList=$I$2,ROW(DaftarPembeli)-ROW(PartsData!E$2)+1),ROWS(PartsData!E$2:'PartsData'!E9))),"")</f>
        <v/>
      </c>
      <c r="K9" t="str">
        <f ca="1">IF(J9="","",COUNTIF(ListPembeli,"&lt;="&amp;$J9))</f>
        <v/>
      </c>
      <c r="L9" t="str">
        <f ca="1">IF(K9="","",INDEX(ListPembeli,MATCH(ROWS($K$2:$K9),$K$2:$K$101,0)))</f>
        <v/>
      </c>
      <c r="N9" t="str">
        <f t="array" aca="1" ref="N9" ca="1">IFERROR(INDEX(DaftarPembeli,SMALL(IF(OrderIDList=$M$2,ROW(DaftarPembeli)-ROW(PartsData!I$2)+1),ROWS(PartsData!I$2:'PartsData'!I9))),"")</f>
        <v>Ineu Widaningsih</v>
      </c>
      <c r="O9">
        <f ca="1">IF(N9="","",COUNTIF(ListCariPembeli,"&lt;="&amp;$N9))</f>
        <v>5</v>
      </c>
      <c r="P9" t="str">
        <f ca="1">IF(O9="","",INDEX(ListCariPembeli,MATCH(ROWS($O$2:$O9),$O$2:$O$201,0)))</f>
        <v>Lia Barra</v>
      </c>
    </row>
    <row r="10" spans="1:16" ht="18" customHeight="1" x14ac:dyDescent="0.2">
      <c r="J10" t="str">
        <f t="array" aca="1" ref="J10" ca="1">IFERROR(INDEX(DaftarPembeli,SMALL(IF(OrderIDList=$I$2,ROW(DaftarPembeli)-ROW(PartsData!E$2)+1),ROWS(PartsData!E$2:'PartsData'!E10))),"")</f>
        <v/>
      </c>
      <c r="K10" t="str">
        <f ca="1">IF(J10="","",COUNTIF(ListPembeli,"&lt;="&amp;$J10))</f>
        <v/>
      </c>
      <c r="L10" t="str">
        <f ca="1">IF(K10="","",INDEX(ListPembeli,MATCH(ROWS($K$2:$K10),$K$2:$K$101,0)))</f>
        <v/>
      </c>
      <c r="N10" t="str">
        <f t="array" aca="1" ref="N10" ca="1">IFERROR(INDEX(DaftarPembeli,SMALL(IF(OrderIDList=$M$2,ROW(DaftarPembeli)-ROW(PartsData!I$2)+1),ROWS(PartsData!I$2:'PartsData'!I10))),"")</f>
        <v>Tria Barmawi</v>
      </c>
      <c r="O10">
        <f ca="1">IF(N10="","",COUNTIF(ListCariPembeli,"&lt;="&amp;$N10))</f>
        <v>13</v>
      </c>
      <c r="P10" t="str">
        <f ca="1">IF(O10="","",INDEX(ListCariPembeli,MATCH(ROWS($O$2:$O10),$O$2:$O$201,0)))</f>
        <v>Praya Arie Indrayana</v>
      </c>
    </row>
    <row r="11" spans="1:16" ht="18" customHeight="1" x14ac:dyDescent="0.2">
      <c r="B11" s="20"/>
      <c r="C11" s="11"/>
      <c r="J11" t="str">
        <f t="array" aca="1" ref="J11" ca="1">IFERROR(INDEX(DaftarPembeli,SMALL(IF(OrderIDList=$I$2,ROW(DaftarPembeli)-ROW(PartsData!E$2)+1),ROWS(PartsData!E$2:'PartsData'!E11))),"")</f>
        <v/>
      </c>
      <c r="K11" t="str">
        <f ca="1">IF(J11="","",COUNTIF(ListPembeli,"&lt;="&amp;$J11))</f>
        <v/>
      </c>
      <c r="L11" t="str">
        <f ca="1">IF(K11="","",INDEX(ListPembeli,MATCH(ROWS($K$2:$K11),$K$2:$K$101,0)))</f>
        <v/>
      </c>
      <c r="N11" t="str">
        <f t="array" aca="1" ref="N11" ca="1">IFERROR(INDEX(DaftarPembeli,SMALL(IF(OrderIDList=$M$2,ROW(DaftarPembeli)-ROW(PartsData!I$2)+1),ROWS(PartsData!I$2:'PartsData'!I11))),"")</f>
        <v>Lia</v>
      </c>
      <c r="O11">
        <f ca="1">IF(N11="","",COUNTIF(ListCariPembeli,"&lt;="&amp;$N11))</f>
        <v>7</v>
      </c>
      <c r="P11" t="str">
        <f ca="1">IF(O11="","",INDEX(ListCariPembeli,MATCH(ROWS($O$2:$O11),$O$2:$O$201,0)))</f>
        <v>Rini T</v>
      </c>
    </row>
    <row r="12" spans="1:16" ht="18" customHeight="1" x14ac:dyDescent="0.2">
      <c r="C12" s="11"/>
      <c r="J12" t="str">
        <f t="array" aca="1" ref="J12" ca="1">IFERROR(INDEX(DaftarPembeli,SMALL(IF(OrderIDList=$I$2,ROW(DaftarPembeli)-ROW(PartsData!E$2)+1),ROWS(PartsData!E$2:'PartsData'!E12))),"")</f>
        <v/>
      </c>
      <c r="K12" t="str">
        <f ca="1">IF(J12="","",COUNTIF(ListPembeli,"&lt;="&amp;$J12))</f>
        <v/>
      </c>
      <c r="L12" t="str">
        <f ca="1">IF(K12="","",INDEX(ListPembeli,MATCH(ROWS($K$2:$K12),$K$2:$K$101,0)))</f>
        <v/>
      </c>
      <c r="N12" t="str">
        <f t="array" aca="1" ref="N12" ca="1">IFERROR(INDEX(DaftarPembeli,SMALL(IF(OrderIDList=$M$2,ROW(DaftarPembeli)-ROW(PartsData!I$2)+1),ROWS(PartsData!I$2:'PartsData'!I12))),"")</f>
        <v>Srie Mulyasari</v>
      </c>
      <c r="O12">
        <f ca="1">IF(N12="","",COUNTIF(ListCariPembeli,"&lt;="&amp;$N12))</f>
        <v>11</v>
      </c>
      <c r="P12" t="str">
        <f ca="1">IF(O12="","",INDEX(ListCariPembeli,MATCH(ROWS($O$2:$O12),$O$2:$O$201,0)))</f>
        <v>Srie Mulyasari</v>
      </c>
    </row>
    <row r="13" spans="1:16" ht="18" customHeight="1" x14ac:dyDescent="0.2">
      <c r="C13" s="11"/>
      <c r="J13" t="str">
        <f t="array" aca="1" ref="J13" ca="1">IFERROR(INDEX(DaftarPembeli,SMALL(IF(OrderIDList=$I$2,ROW(DaftarPembeli)-ROW(PartsData!E$2)+1),ROWS(PartsData!E$2:'PartsData'!E13))),"")</f>
        <v/>
      </c>
      <c r="K13" t="str">
        <f ca="1">IF(J13="","",COUNTIF(ListPembeli,"&lt;="&amp;$J13))</f>
        <v/>
      </c>
      <c r="L13" t="str">
        <f ca="1">IF(K13="","",INDEX(ListPembeli,MATCH(ROWS($K$2:$K13),$K$2:$K$101,0)))</f>
        <v/>
      </c>
      <c r="N13" t="str">
        <f t="array" aca="1" ref="N13" ca="1">IFERROR(INDEX(DaftarPembeli,SMALL(IF(OrderIDList=$M$2,ROW(DaftarPembeli)-ROW(PartsData!I$2)+1),ROWS(PartsData!I$2:'PartsData'!I13))),"")</f>
        <v>Tita</v>
      </c>
      <c r="O13">
        <f ca="1">IF(N13="","",COUNTIF(ListCariPembeli,"&lt;="&amp;$N13))</f>
        <v>12</v>
      </c>
      <c r="P13" t="str">
        <f ca="1">IF(O13="","",INDEX(ListCariPembeli,MATCH(ROWS($O$2:$O13),$O$2:$O$201,0)))</f>
        <v>Tita</v>
      </c>
    </row>
    <row r="14" spans="1:16" ht="18" customHeight="1" x14ac:dyDescent="0.2">
      <c r="C14" s="11"/>
      <c r="J14" t="str">
        <f t="array" aca="1" ref="J14" ca="1">IFERROR(INDEX(DaftarPembeli,SMALL(IF(OrderIDList=$I$2,ROW(DaftarPembeli)-ROW(PartsData!E$2)+1),ROWS(PartsData!E$2:'PartsData'!E14))),"")</f>
        <v/>
      </c>
      <c r="K14" t="str">
        <f ca="1">IF(J14="","",COUNTIF(ListPembeli,"&lt;="&amp;$J14))</f>
        <v/>
      </c>
      <c r="L14" t="str">
        <f ca="1">IF(K14="","",INDEX(ListPembeli,MATCH(ROWS($K$2:$K14),$K$2:$K$101,0)))</f>
        <v/>
      </c>
      <c r="N14" t="str">
        <f t="array" aca="1" ref="N14" ca="1">IFERROR(INDEX(DaftarPembeli,SMALL(IF(OrderIDList=$M$2,ROW(DaftarPembeli)-ROW(PartsData!I$2)+1),ROWS(PartsData!I$2:'PartsData'!I14))),"")</f>
        <v>Ahmad Baiquni</v>
      </c>
      <c r="O14">
        <f ca="1">IF(N14="","",COUNTIF(ListCariPembeli,"&lt;="&amp;$N14))</f>
        <v>1</v>
      </c>
      <c r="P14" t="str">
        <f ca="1">IF(O14="","",INDEX(ListCariPembeli,MATCH(ROWS($O$2:$O14),$O$2:$O$201,0)))</f>
        <v>Tria Barmawi</v>
      </c>
    </row>
    <row r="15" spans="1:16" ht="18" customHeight="1" x14ac:dyDescent="0.2">
      <c r="J15" t="str">
        <f t="array" aca="1" ref="J15" ca="1">IFERROR(INDEX(DaftarPembeli,SMALL(IF(OrderIDList=$I$2,ROW(DaftarPembeli)-ROW(PartsData!E$2)+1),ROWS(PartsData!E$2:'PartsData'!E15))),"")</f>
        <v/>
      </c>
      <c r="K15" t="str">
        <f ca="1">IF(J15="","",COUNTIF(ListPembeli,"&lt;="&amp;$J15))</f>
        <v/>
      </c>
      <c r="L15" t="str">
        <f ca="1">IF(K15="","",INDEX(ListPembeli,MATCH(ROWS($K$2:$K15),$K$2:$K$101,0)))</f>
        <v/>
      </c>
      <c r="N15" t="str">
        <f t="array" aca="1" ref="N15" ca="1">IFERROR(INDEX(DaftarPembeli,SMALL(IF(OrderIDList=$M$2,ROW(DaftarPembeli)-ROW(PartsData!I$2)+1),ROWS(PartsData!I$2:'PartsData'!I15))),"")</f>
        <v>Lia Barra</v>
      </c>
      <c r="O15">
        <f ca="1">IF(N15="","",COUNTIF(ListCariPembeli,"&lt;="&amp;$N15))</f>
        <v>8</v>
      </c>
      <c r="P15" t="str">
        <f ca="1">IF(O15="","",INDEX(ListCariPembeli,MATCH(ROWS($O$2:$O15),$O$2:$O$201,0)))</f>
        <v>Winy</v>
      </c>
    </row>
    <row r="16" spans="1:16" ht="18" customHeight="1" x14ac:dyDescent="0.2">
      <c r="B16" s="20"/>
      <c r="J16" t="str">
        <f t="array" aca="1" ref="J16" ca="1">IFERROR(INDEX(DaftarPembeli,SMALL(IF(OrderIDList=$I$2,ROW(DaftarPembeli)-ROW(PartsData!E$2)+1),ROWS(PartsData!E$2:'PartsData'!E16))),"")</f>
        <v/>
      </c>
      <c r="K16" t="str">
        <f ca="1">IF(J16="","",COUNTIF(ListPembeli,"&lt;="&amp;$J16))</f>
        <v/>
      </c>
      <c r="L16" t="str">
        <f ca="1">IF(K16="","",INDEX(ListPembeli,MATCH(ROWS($K$2:$K16),$K$2:$K$101,0)))</f>
        <v/>
      </c>
      <c r="N16" t="str">
        <f t="array" aca="1" ref="N16" ca="1">IFERROR(INDEX(DaftarPembeli,SMALL(IF(OrderIDList=$M$2,ROW(DaftarPembeli)-ROW(PartsData!I$2)+1),ROWS(PartsData!I$2:'PartsData'!I16))),"")</f>
        <v/>
      </c>
      <c r="O16" t="str">
        <f ca="1">IF(N16="","",COUNTIF(ListCariPembeli,"&lt;="&amp;$N16))</f>
        <v/>
      </c>
      <c r="P16" t="str">
        <f ca="1">IF(O16="","",INDEX(ListCariPembeli,MATCH(ROWS($O$2:$O16),$O$2:$O$201,0)))</f>
        <v/>
      </c>
    </row>
    <row r="17" spans="2:16" ht="18" customHeight="1" x14ac:dyDescent="0.2">
      <c r="C17" s="11"/>
      <c r="E17" s="10"/>
      <c r="J17" t="str">
        <f t="array" aca="1" ref="J17" ca="1">IFERROR(INDEX(DaftarPembeli,SMALL(IF(OrderIDList=$I$2,ROW(DaftarPembeli)-ROW(PartsData!E$2)+1),ROWS(PartsData!E$2:'PartsData'!E17))),"")</f>
        <v/>
      </c>
      <c r="K17" t="str">
        <f ca="1">IF(J17="","",COUNTIF(ListPembeli,"&lt;="&amp;$J17))</f>
        <v/>
      </c>
      <c r="L17" t="str">
        <f ca="1">IF(K17="","",INDEX(ListPembeli,MATCH(ROWS($K$2:$K17),$K$2:$K$101,0)))</f>
        <v/>
      </c>
      <c r="N17" t="str">
        <f t="array" aca="1" ref="N17" ca="1">IFERROR(INDEX(DaftarPembeli,SMALL(IF(OrderIDList=$M$2,ROW(DaftarPembeli)-ROW(PartsData!I$2)+1),ROWS(PartsData!I$2:'PartsData'!I17))),"")</f>
        <v/>
      </c>
      <c r="O17" t="str">
        <f ca="1">IF(N17="","",COUNTIF(ListCariPembeli,"&lt;="&amp;$N17))</f>
        <v/>
      </c>
      <c r="P17" t="str">
        <f ca="1">IF(O17="","",INDEX(ListCariPembeli,MATCH(ROWS($O$2:$O17),$O$2:$O$201,0)))</f>
        <v/>
      </c>
    </row>
    <row r="18" spans="2:16" ht="18" customHeight="1" x14ac:dyDescent="0.2">
      <c r="C18" s="11"/>
      <c r="J18" t="str">
        <f t="array" aca="1" ref="J18" ca="1">IFERROR(INDEX(DaftarPembeli,SMALL(IF(OrderIDList=$I$2,ROW(DaftarPembeli)-ROW(PartsData!E$2)+1),ROWS(PartsData!E$2:'PartsData'!E18))),"")</f>
        <v/>
      </c>
      <c r="K18" t="str">
        <f ca="1">IF(J18="","",COUNTIF(ListPembeli,"&lt;="&amp;$J18))</f>
        <v/>
      </c>
      <c r="L18" t="str">
        <f ca="1">IF(K18="","",INDEX(ListPembeli,MATCH(ROWS($K$2:$K18),$K$2:$K$101,0)))</f>
        <v/>
      </c>
      <c r="N18" t="str">
        <f t="array" aca="1" ref="N18" ca="1">IFERROR(INDEX(DaftarPembeli,SMALL(IF(OrderIDList=$M$2,ROW(DaftarPembeli)-ROW(PartsData!I$2)+1),ROWS(PartsData!I$2:'PartsData'!I18))),"")</f>
        <v/>
      </c>
      <c r="O18" t="str">
        <f ca="1">IF(N18="","",COUNTIF(ListCariPembeli,"&lt;="&amp;$N18))</f>
        <v/>
      </c>
      <c r="P18" t="str">
        <f ca="1">IF(O18="","",INDEX(ListCariPembeli,MATCH(ROWS($O$2:$O18),$O$2:$O$201,0)))</f>
        <v/>
      </c>
    </row>
    <row r="19" spans="2:16" ht="18" customHeight="1" x14ac:dyDescent="0.2">
      <c r="C19" s="11"/>
      <c r="J19" t="str">
        <f t="array" aca="1" ref="J19" ca="1">IFERROR(INDEX(DaftarPembeli,SMALL(IF(OrderIDList=$I$2,ROW(DaftarPembeli)-ROW(PartsData!E$2)+1),ROWS(PartsData!E$2:'PartsData'!E19))),"")</f>
        <v/>
      </c>
      <c r="K19" t="str">
        <f ca="1">IF(J19="","",COUNTIF(ListPembeli,"&lt;="&amp;$J19))</f>
        <v/>
      </c>
      <c r="L19" t="str">
        <f ca="1">IF(K19="","",INDEX(ListPembeli,MATCH(ROWS($K$2:$K19),$K$2:$K$101,0)))</f>
        <v/>
      </c>
      <c r="N19" t="str">
        <f t="array" aca="1" ref="N19" ca="1">IFERROR(INDEX(DaftarPembeli,SMALL(IF(OrderIDList=$M$2,ROW(DaftarPembeli)-ROW(PartsData!I$2)+1),ROWS(PartsData!I$2:'PartsData'!I19))),"")</f>
        <v/>
      </c>
      <c r="O19" t="str">
        <f ca="1">IF(N19="","",COUNTIF(ListCariPembeli,"&lt;="&amp;$N19))</f>
        <v/>
      </c>
      <c r="P19" t="str">
        <f ca="1">IF(O19="","",INDEX(ListCariPembeli,MATCH(ROWS($O$2:$O19),$O$2:$O$201,0)))</f>
        <v/>
      </c>
    </row>
    <row r="20" spans="2:16" ht="18" customHeight="1" x14ac:dyDescent="0.2">
      <c r="C20" s="11"/>
      <c r="J20" t="str">
        <f t="array" aca="1" ref="J20" ca="1">IFERROR(INDEX(DaftarPembeli,SMALL(IF(OrderIDList=$I$2,ROW(DaftarPembeli)-ROW(PartsData!E$2)+1),ROWS(PartsData!E$2:'PartsData'!E20))),"")</f>
        <v/>
      </c>
      <c r="K20" t="str">
        <f ca="1">IF(J20="","",COUNTIF(ListPembeli,"&lt;="&amp;$J20))</f>
        <v/>
      </c>
      <c r="L20" t="str">
        <f ca="1">IF(K20="","",INDEX(ListPembeli,MATCH(ROWS($K$2:$K20),$K$2:$K$101,0)))</f>
        <v/>
      </c>
      <c r="N20" t="str">
        <f t="array" aca="1" ref="N20" ca="1">IFERROR(INDEX(DaftarPembeli,SMALL(IF(OrderIDList=$M$2,ROW(DaftarPembeli)-ROW(PartsData!I$2)+1),ROWS(PartsData!I$2:'PartsData'!I20))),"")</f>
        <v/>
      </c>
      <c r="O20" t="str">
        <f ca="1">IF(N20="","",COUNTIF(ListCariPembeli,"&lt;="&amp;$N20))</f>
        <v/>
      </c>
      <c r="P20" t="str">
        <f ca="1">IF(O20="","",INDEX(ListCariPembeli,MATCH(ROWS($O$2:$O20),$O$2:$O$201,0)))</f>
        <v/>
      </c>
    </row>
    <row r="21" spans="2:16" ht="18" customHeight="1" x14ac:dyDescent="0.2">
      <c r="J21" t="str">
        <f t="array" aca="1" ref="J21" ca="1">IFERROR(INDEX(DaftarPembeli,SMALL(IF(OrderIDList=$I$2,ROW(DaftarPembeli)-ROW(PartsData!E$2)+1),ROWS(PartsData!E$2:'PartsData'!E21))),"")</f>
        <v/>
      </c>
      <c r="K21" t="str">
        <f ca="1">IF(J21="","",COUNTIF(ListPembeli,"&lt;="&amp;$J21))</f>
        <v/>
      </c>
      <c r="L21" t="str">
        <f ca="1">IF(K21="","",INDEX(ListPembeli,MATCH(ROWS($K$2:$K21),$K$2:$K$101,0)))</f>
        <v/>
      </c>
      <c r="N21" t="str">
        <f t="array" aca="1" ref="N21" ca="1">IFERROR(INDEX(DaftarPembeli,SMALL(IF(OrderIDList=$M$2,ROW(DaftarPembeli)-ROW(PartsData!I$2)+1),ROWS(PartsData!I$2:'PartsData'!I21))),"")</f>
        <v/>
      </c>
      <c r="O21" t="str">
        <f ca="1">IF(N21="","",COUNTIF(ListCariPembeli,"&lt;="&amp;$N21))</f>
        <v/>
      </c>
      <c r="P21" t="str">
        <f ca="1">IF(O21="","",INDEX(ListCariPembeli,MATCH(ROWS($O$2:$O21),$O$2:$O$201,0)))</f>
        <v/>
      </c>
    </row>
    <row r="22" spans="2:16" ht="18" customHeight="1" x14ac:dyDescent="0.2">
      <c r="B22" s="20"/>
      <c r="J22" t="str">
        <f t="array" aca="1" ref="J22" ca="1">IFERROR(INDEX(DaftarPembeli,SMALL(IF(OrderIDList=$I$2,ROW(DaftarPembeli)-ROW(PartsData!E$2)+1),ROWS(PartsData!E$2:'PartsData'!E22))),"")</f>
        <v/>
      </c>
      <c r="K22" t="str">
        <f ca="1">IF(J22="","",COUNTIF(ListPembeli,"&lt;="&amp;$J22))</f>
        <v/>
      </c>
      <c r="L22" t="str">
        <f ca="1">IF(K22="","",INDEX(ListPembeli,MATCH(ROWS($K$2:$K22),$K$2:$K$101,0)))</f>
        <v/>
      </c>
      <c r="N22" t="str">
        <f t="array" aca="1" ref="N22" ca="1">IFERROR(INDEX(DaftarPembeli,SMALL(IF(OrderIDList=$M$2,ROW(DaftarPembeli)-ROW(PartsData!I$2)+1),ROWS(PartsData!I$2:'PartsData'!I22))),"")</f>
        <v/>
      </c>
      <c r="O22" t="str">
        <f ca="1">IF(N22="","",COUNTIF(ListCariPembeli,"&lt;="&amp;$N22))</f>
        <v/>
      </c>
      <c r="P22" t="str">
        <f ca="1">IF(O22="","",INDEX(ListCariPembeli,MATCH(ROWS($O$2:$O22),$O$2:$O$201,0)))</f>
        <v/>
      </c>
    </row>
    <row r="23" spans="2:16" ht="18" customHeight="1" x14ac:dyDescent="0.2">
      <c r="C23" s="12"/>
      <c r="J23" t="str">
        <f t="array" aca="1" ref="J23" ca="1">IFERROR(INDEX(DaftarPembeli,SMALL(IF(OrderIDList=$I$2,ROW(DaftarPembeli)-ROW(PartsData!E$2)+1),ROWS(PartsData!E$2:'PartsData'!E23))),"")</f>
        <v/>
      </c>
      <c r="K23" t="str">
        <f ca="1">IF(J23="","",COUNTIF(ListPembeli,"&lt;="&amp;$J23))</f>
        <v/>
      </c>
      <c r="L23" t="str">
        <f ca="1">IF(K23="","",INDEX(ListPembeli,MATCH(ROWS($K$2:$K23),$K$2:$K$101,0)))</f>
        <v/>
      </c>
      <c r="N23" t="str">
        <f t="array" aca="1" ref="N23" ca="1">IFERROR(INDEX(DaftarPembeli,SMALL(IF(OrderIDList=$M$2,ROW(DaftarPembeli)-ROW(PartsData!I$2)+1),ROWS(PartsData!I$2:'PartsData'!I23))),"")</f>
        <v/>
      </c>
      <c r="O23" t="str">
        <f ca="1">IF(N23="","",COUNTIF(ListCariPembeli,"&lt;="&amp;$N23))</f>
        <v/>
      </c>
      <c r="P23" t="str">
        <f ca="1">IF(O23="","",INDEX(ListCariPembeli,MATCH(ROWS($O$2:$O23),$O$2:$O$201,0)))</f>
        <v/>
      </c>
    </row>
    <row r="24" spans="2:16" ht="18" customHeight="1" x14ac:dyDescent="0.2">
      <c r="C24" s="11"/>
      <c r="J24" t="str">
        <f t="array" aca="1" ref="J24" ca="1">IFERROR(INDEX(DaftarPembeli,SMALL(IF(OrderIDList=$I$2,ROW(DaftarPembeli)-ROW(PartsData!E$2)+1),ROWS(PartsData!E$2:'PartsData'!E24))),"")</f>
        <v/>
      </c>
      <c r="K24" t="str">
        <f ca="1">IF(J24="","",COUNTIF(ListPembeli,"&lt;="&amp;$J24))</f>
        <v/>
      </c>
      <c r="L24" t="str">
        <f ca="1">IF(K24="","",INDEX(ListPembeli,MATCH(ROWS($K$2:$K24),$K$2:$K$101,0)))</f>
        <v/>
      </c>
      <c r="N24" t="str">
        <f t="array" aca="1" ref="N24" ca="1">IFERROR(INDEX(DaftarPembeli,SMALL(IF(OrderIDList=$M$2,ROW(DaftarPembeli)-ROW(PartsData!I$2)+1),ROWS(PartsData!I$2:'PartsData'!I24))),"")</f>
        <v/>
      </c>
      <c r="O24" t="str">
        <f ca="1">IF(N24="","",COUNTIF(ListCariPembeli,"&lt;="&amp;$N24))</f>
        <v/>
      </c>
      <c r="P24" t="str">
        <f ca="1">IF(O24="","",INDEX(ListCariPembeli,MATCH(ROWS($O$2:$O24),$O$2:$O$201,0)))</f>
        <v/>
      </c>
    </row>
    <row r="25" spans="2:16" ht="18" customHeight="1" x14ac:dyDescent="0.2">
      <c r="C25" s="11"/>
      <c r="J25" t="str">
        <f t="array" aca="1" ref="J25" ca="1">IFERROR(INDEX(DaftarPembeli,SMALL(IF(OrderIDList=$I$2,ROW(DaftarPembeli)-ROW(PartsData!E$2)+1),ROWS(PartsData!E$2:'PartsData'!E25))),"")</f>
        <v/>
      </c>
      <c r="K25" t="str">
        <f ca="1">IF(J25="","",COUNTIF(ListPembeli,"&lt;="&amp;$J25))</f>
        <v/>
      </c>
      <c r="L25" t="str">
        <f ca="1">IF(K25="","",INDEX(ListPembeli,MATCH(ROWS($K$2:$K25),$K$2:$K$101,0)))</f>
        <v/>
      </c>
      <c r="N25" t="str">
        <f t="array" aca="1" ref="N25" ca="1">IFERROR(INDEX(DaftarPembeli,SMALL(IF(OrderIDList=$M$2,ROW(DaftarPembeli)-ROW(PartsData!I$2)+1),ROWS(PartsData!I$2:'PartsData'!I25))),"")</f>
        <v/>
      </c>
      <c r="O25" t="str">
        <f ca="1">IF(N25="","",COUNTIF(ListCariPembeli,"&lt;="&amp;$N25))</f>
        <v/>
      </c>
      <c r="P25" t="str">
        <f ca="1">IF(O25="","",INDEX(ListCariPembeli,MATCH(ROWS($O$2:$O25),$O$2:$O$201,0)))</f>
        <v/>
      </c>
    </row>
    <row r="26" spans="2:16" ht="18" customHeight="1" x14ac:dyDescent="0.2">
      <c r="C26" s="11"/>
      <c r="J26" t="str">
        <f t="array" aca="1" ref="J26" ca="1">IFERROR(INDEX(DaftarPembeli,SMALL(IF(OrderIDList=$I$2,ROW(DaftarPembeli)-ROW(PartsData!E$2)+1),ROWS(PartsData!E$2:'PartsData'!E26))),"")</f>
        <v/>
      </c>
      <c r="K26" t="str">
        <f ca="1">IF(J26="","",COUNTIF(ListPembeli,"&lt;="&amp;$J26))</f>
        <v/>
      </c>
      <c r="L26" t="str">
        <f ca="1">IF(K26="","",INDEX(ListPembeli,MATCH(ROWS($K$2:$K26),$K$2:$K$101,0)))</f>
        <v/>
      </c>
      <c r="N26" t="str">
        <f t="array" aca="1" ref="N26" ca="1">IFERROR(INDEX(DaftarPembeli,SMALL(IF(OrderIDList=$M$2,ROW(DaftarPembeli)-ROW(PartsData!I$2)+1),ROWS(PartsData!I$2:'PartsData'!I26))),"")</f>
        <v/>
      </c>
      <c r="O26" t="str">
        <f ca="1">IF(N26="","",COUNTIF(ListCariPembeli,"&lt;="&amp;$N26))</f>
        <v/>
      </c>
      <c r="P26" t="str">
        <f ca="1">IF(O26="","",INDEX(ListCariPembeli,MATCH(ROWS($O$2:$O26),$O$2:$O$201,0)))</f>
        <v/>
      </c>
    </row>
    <row r="27" spans="2:16" ht="18" customHeight="1" x14ac:dyDescent="0.2">
      <c r="J27" t="str">
        <f t="array" aca="1" ref="J27" ca="1">IFERROR(INDEX(DaftarPembeli,SMALL(IF(OrderIDList=$I$2,ROW(DaftarPembeli)-ROW(PartsData!E$2)+1),ROWS(PartsData!E$2:'PartsData'!E27))),"")</f>
        <v/>
      </c>
      <c r="K27" t="str">
        <f ca="1">IF(J27="","",COUNTIF(ListPembeli,"&lt;="&amp;$J27))</f>
        <v/>
      </c>
      <c r="L27" t="str">
        <f ca="1">IF(K27="","",INDEX(ListPembeli,MATCH(ROWS($K$2:$K27),$K$2:$K$101,0)))</f>
        <v/>
      </c>
      <c r="N27" t="str">
        <f t="array" aca="1" ref="N27" ca="1">IFERROR(INDEX(DaftarPembeli,SMALL(IF(OrderIDList=$M$2,ROW(DaftarPembeli)-ROW(PartsData!I$2)+1),ROWS(PartsData!I$2:'PartsData'!I27))),"")</f>
        <v/>
      </c>
      <c r="O27" t="str">
        <f ca="1">IF(N27="","",COUNTIF(ListCariPembeli,"&lt;="&amp;$N27))</f>
        <v/>
      </c>
      <c r="P27" t="str">
        <f ca="1">IF(O27="","",INDEX(ListCariPembeli,MATCH(ROWS($O$2:$O27),$O$2:$O$201,0)))</f>
        <v/>
      </c>
    </row>
    <row r="28" spans="2:16" ht="18" customHeight="1" x14ac:dyDescent="0.2">
      <c r="B28" s="20"/>
      <c r="J28" t="str">
        <f t="array" aca="1" ref="J28" ca="1">IFERROR(INDEX(DaftarPembeli,SMALL(IF(OrderIDList=$I$2,ROW(DaftarPembeli)-ROW(PartsData!E$2)+1),ROWS(PartsData!E$2:'PartsData'!E28))),"")</f>
        <v/>
      </c>
      <c r="K28" t="str">
        <f ca="1">IF(J28="","",COUNTIF(ListPembeli,"&lt;="&amp;$J28))</f>
        <v/>
      </c>
      <c r="L28" t="str">
        <f ca="1">IF(K28="","",INDEX(ListPembeli,MATCH(ROWS($K$2:$K28),$K$2:$K$101,0)))</f>
        <v/>
      </c>
      <c r="N28" t="str">
        <f t="array" aca="1" ref="N28" ca="1">IFERROR(INDEX(DaftarPembeli,SMALL(IF(OrderIDList=$M$2,ROW(DaftarPembeli)-ROW(PartsData!I$2)+1),ROWS(PartsData!I$2:'PartsData'!I28))),"")</f>
        <v/>
      </c>
      <c r="O28" t="str">
        <f ca="1">IF(N28="","",COUNTIF(ListCariPembeli,"&lt;="&amp;$N28))</f>
        <v/>
      </c>
      <c r="P28" t="str">
        <f ca="1">IF(O28="","",INDEX(ListCariPembeli,MATCH(ROWS($O$2:$O28),$O$2:$O$201,0)))</f>
        <v/>
      </c>
    </row>
    <row r="29" spans="2:16" ht="18" customHeight="1" x14ac:dyDescent="0.2">
      <c r="C29" s="11"/>
      <c r="J29" t="str">
        <f t="array" aca="1" ref="J29" ca="1">IFERROR(INDEX(DaftarPembeli,SMALL(IF(OrderIDList=$I$2,ROW(DaftarPembeli)-ROW(PartsData!E$2)+1),ROWS(PartsData!E$2:'PartsData'!E29))),"")</f>
        <v/>
      </c>
      <c r="K29" t="str">
        <f ca="1">IF(J29="","",COUNTIF(ListPembeli,"&lt;="&amp;$J29))</f>
        <v/>
      </c>
      <c r="L29" t="str">
        <f ca="1">IF(K29="","",INDEX(ListPembeli,MATCH(ROWS($K$2:$K29),$K$2:$K$101,0)))</f>
        <v/>
      </c>
      <c r="N29" t="str">
        <f t="array" aca="1" ref="N29" ca="1">IFERROR(INDEX(DaftarPembeli,SMALL(IF(OrderIDList=$M$2,ROW(DaftarPembeli)-ROW(PartsData!I$2)+1),ROWS(PartsData!I$2:'PartsData'!I29))),"")</f>
        <v/>
      </c>
      <c r="O29" t="str">
        <f ca="1">IF(N29="","",COUNTIF(ListCariPembeli,"&lt;="&amp;$N29))</f>
        <v/>
      </c>
      <c r="P29" t="str">
        <f ca="1">IF(O29="","",INDEX(ListCariPembeli,MATCH(ROWS($O$2:$O29),$O$2:$O$201,0)))</f>
        <v/>
      </c>
    </row>
    <row r="30" spans="2:16" ht="18" customHeight="1" x14ac:dyDescent="0.2">
      <c r="C30" s="11"/>
      <c r="J30" t="str">
        <f t="array" aca="1" ref="J30" ca="1">IFERROR(INDEX(DaftarPembeli,SMALL(IF(OrderIDList=$I$2,ROW(DaftarPembeli)-ROW(PartsData!E$2)+1),ROWS(PartsData!E$2:'PartsData'!E30))),"")</f>
        <v/>
      </c>
      <c r="K30" t="str">
        <f ca="1">IF(J30="","",COUNTIF(ListPembeli,"&lt;="&amp;$J30))</f>
        <v/>
      </c>
      <c r="L30" t="str">
        <f ca="1">IF(K30="","",INDEX(ListPembeli,MATCH(ROWS($K$2:$K30),$K$2:$K$101,0)))</f>
        <v/>
      </c>
      <c r="N30" t="str">
        <f t="array" aca="1" ref="N30" ca="1">IFERROR(INDEX(DaftarPembeli,SMALL(IF(OrderIDList=$M$2,ROW(DaftarPembeli)-ROW(PartsData!I$2)+1),ROWS(PartsData!I$2:'PartsData'!I30))),"")</f>
        <v/>
      </c>
      <c r="O30" t="str">
        <f ca="1">IF(N30="","",COUNTIF(ListCariPembeli,"&lt;="&amp;$N30))</f>
        <v/>
      </c>
      <c r="P30" t="str">
        <f ca="1">IF(O30="","",INDEX(ListCariPembeli,MATCH(ROWS($O$2:$O30),$O$2:$O$201,0)))</f>
        <v/>
      </c>
    </row>
    <row r="31" spans="2:16" ht="18" customHeight="1" x14ac:dyDescent="0.2">
      <c r="C31" s="11"/>
      <c r="J31" t="str">
        <f t="array" aca="1" ref="J31" ca="1">IFERROR(INDEX(DaftarPembeli,SMALL(IF(OrderIDList=$I$2,ROW(DaftarPembeli)-ROW(PartsData!E$2)+1),ROWS(PartsData!E$2:'PartsData'!E31))),"")</f>
        <v/>
      </c>
      <c r="K31" t="str">
        <f ca="1">IF(J31="","",COUNTIF(ListPembeli,"&lt;="&amp;$J31))</f>
        <v/>
      </c>
      <c r="L31" t="str">
        <f ca="1">IF(K31="","",INDEX(ListPembeli,MATCH(ROWS($K$2:$K31),$K$2:$K$101,0)))</f>
        <v/>
      </c>
      <c r="N31" t="str">
        <f t="array" aca="1" ref="N31" ca="1">IFERROR(INDEX(DaftarPembeli,SMALL(IF(OrderIDList=$M$2,ROW(DaftarPembeli)-ROW(PartsData!I$2)+1),ROWS(PartsData!I$2:'PartsData'!I31))),"")</f>
        <v/>
      </c>
      <c r="O31" t="str">
        <f ca="1">IF(N31="","",COUNTIF(ListCariPembeli,"&lt;="&amp;$N31))</f>
        <v/>
      </c>
      <c r="P31" t="str">
        <f ca="1">IF(O31="","",INDEX(ListCariPembeli,MATCH(ROWS($O$2:$O31),$O$2:$O$201,0)))</f>
        <v/>
      </c>
    </row>
    <row r="32" spans="2:16" ht="18" customHeight="1" x14ac:dyDescent="0.2">
      <c r="C32" s="11"/>
      <c r="J32" t="str">
        <f t="array" aca="1" ref="J32" ca="1">IFERROR(INDEX(DaftarPembeli,SMALL(IF(OrderIDList=$I$2,ROW(DaftarPembeli)-ROW(PartsData!E$2)+1),ROWS(PartsData!E$2:'PartsData'!E32))),"")</f>
        <v/>
      </c>
      <c r="K32" t="str">
        <f ca="1">IF(J32="","",COUNTIF(ListPembeli,"&lt;="&amp;$J32))</f>
        <v/>
      </c>
      <c r="L32" t="str">
        <f ca="1">IF(K32="","",INDEX(ListPembeli,MATCH(ROWS($K$2:$K32),$K$2:$K$101,0)))</f>
        <v/>
      </c>
      <c r="N32" t="str">
        <f t="array" aca="1" ref="N32" ca="1">IFERROR(INDEX(DaftarPembeli,SMALL(IF(OrderIDList=$M$2,ROW(DaftarPembeli)-ROW(PartsData!I$2)+1),ROWS(PartsData!I$2:'PartsData'!I32))),"")</f>
        <v/>
      </c>
      <c r="O32" t="str">
        <f ca="1">IF(N32="","",COUNTIF(ListCariPembeli,"&lt;="&amp;$N32))</f>
        <v/>
      </c>
      <c r="P32" t="str">
        <f ca="1">IF(O32="","",INDEX(ListCariPembeli,MATCH(ROWS($O$2:$O32),$O$2:$O$201,0)))</f>
        <v/>
      </c>
    </row>
    <row r="33" spans="4:16" ht="18" customHeight="1" x14ac:dyDescent="0.2">
      <c r="D33" s="11"/>
      <c r="J33" t="str">
        <f t="array" aca="1" ref="J33" ca="1">IFERROR(INDEX(DaftarPembeli,SMALL(IF(OrderIDList=$I$2,ROW(DaftarPembeli)-ROW(PartsData!E$2)+1),ROWS(PartsData!E$2:'PartsData'!E33))),"")</f>
        <v/>
      </c>
      <c r="K33" t="str">
        <f ca="1">IF(J33="","",COUNTIF(ListPembeli,"&lt;="&amp;$J33))</f>
        <v/>
      </c>
      <c r="L33" t="str">
        <f ca="1">IF(K33="","",INDEX(ListPembeli,MATCH(ROWS($K$2:$K33),$K$2:$K$101,0)))</f>
        <v/>
      </c>
      <c r="N33" t="str">
        <f t="array" aca="1" ref="N33" ca="1">IFERROR(INDEX(DaftarPembeli,SMALL(IF(OrderIDList=$M$2,ROW(DaftarPembeli)-ROW(PartsData!I$2)+1),ROWS(PartsData!I$2:'PartsData'!I33))),"")</f>
        <v/>
      </c>
      <c r="O33" t="str">
        <f ca="1">IF(N33="","",COUNTIF(ListCariPembeli,"&lt;="&amp;$N33))</f>
        <v/>
      </c>
      <c r="P33" t="str">
        <f ca="1">IF(O33="","",INDEX(ListCariPembeli,MATCH(ROWS($O$2:$O33),$O$2:$O$201,0)))</f>
        <v/>
      </c>
    </row>
    <row r="34" spans="4:16" ht="18" customHeight="1" x14ac:dyDescent="0.2">
      <c r="J34" t="str">
        <f t="array" aca="1" ref="J34" ca="1">IFERROR(INDEX(DaftarPembeli,SMALL(IF(OrderIDList=$I$2,ROW(DaftarPembeli)-ROW(PartsData!E$2)+1),ROWS(PartsData!E$2:'PartsData'!E34))),"")</f>
        <v/>
      </c>
      <c r="K34" t="str">
        <f ca="1">IF(J34="","",COUNTIF(ListPembeli,"&lt;="&amp;$J34))</f>
        <v/>
      </c>
      <c r="L34" t="str">
        <f ca="1">IF(K34="","",INDEX(ListPembeli,MATCH(ROWS($K$2:$K34),$K$2:$K$101,0)))</f>
        <v/>
      </c>
      <c r="N34" t="str">
        <f t="array" aca="1" ref="N34" ca="1">IFERROR(INDEX(DaftarPembeli,SMALL(IF(OrderIDList=$M$2,ROW(DaftarPembeli)-ROW(PartsData!I$2)+1),ROWS(PartsData!I$2:'PartsData'!I34))),"")</f>
        <v/>
      </c>
      <c r="O34" t="str">
        <f ca="1">IF(N34="","",COUNTIF(ListCariPembeli,"&lt;="&amp;$N34))</f>
        <v/>
      </c>
      <c r="P34" t="str">
        <f ca="1">IF(O34="","",INDEX(ListCariPembeli,MATCH(ROWS($O$2:$O34),$O$2:$O$201,0)))</f>
        <v/>
      </c>
    </row>
    <row r="35" spans="4:16" ht="18" customHeight="1" x14ac:dyDescent="0.2">
      <c r="J35" t="str">
        <f t="array" aca="1" ref="J35" ca="1">IFERROR(INDEX(DaftarPembeli,SMALL(IF(OrderIDList=$I$2,ROW(DaftarPembeli)-ROW(PartsData!E$2)+1),ROWS(PartsData!E$2:'PartsData'!E35))),"")</f>
        <v/>
      </c>
      <c r="K35" t="str">
        <f ca="1">IF(J35="","",COUNTIF(ListPembeli,"&lt;="&amp;$J35))</f>
        <v/>
      </c>
      <c r="L35" t="str">
        <f ca="1">IF(K35="","",INDEX(ListPembeli,MATCH(ROWS($K$2:$K35),$K$2:$K$101,0)))</f>
        <v/>
      </c>
      <c r="N35" t="str">
        <f t="array" aca="1" ref="N35" ca="1">IFERROR(INDEX(DaftarPembeli,SMALL(IF(OrderIDList=$M$2,ROW(DaftarPembeli)-ROW(PartsData!I$2)+1),ROWS(PartsData!I$2:'PartsData'!I35))),"")</f>
        <v/>
      </c>
      <c r="O35" t="str">
        <f ca="1">IF(N35="","",COUNTIF(ListCariPembeli,"&lt;="&amp;$N35))</f>
        <v/>
      </c>
      <c r="P35" t="str">
        <f ca="1">IF(O35="","",INDEX(ListCariPembeli,MATCH(ROWS($O$2:$O35),$O$2:$O$201,0)))</f>
        <v/>
      </c>
    </row>
    <row r="36" spans="4:16" ht="18" customHeight="1" x14ac:dyDescent="0.2">
      <c r="J36" t="str">
        <f t="array" aca="1" ref="J36" ca="1">IFERROR(INDEX(DaftarPembeli,SMALL(IF(OrderIDList=$I$2,ROW(DaftarPembeli)-ROW(PartsData!E$2)+1),ROWS(PartsData!E$2:'PartsData'!E36))),"")</f>
        <v/>
      </c>
      <c r="K36" t="str">
        <f ca="1">IF(J36="","",COUNTIF(ListPembeli,"&lt;="&amp;$J36))</f>
        <v/>
      </c>
      <c r="L36" t="str">
        <f ca="1">IF(K36="","",INDEX(ListPembeli,MATCH(ROWS($K$2:$K36),$K$2:$K$101,0)))</f>
        <v/>
      </c>
      <c r="N36" t="str">
        <f t="array" aca="1" ref="N36" ca="1">IFERROR(INDEX(DaftarPembeli,SMALL(IF(OrderIDList=$M$2,ROW(DaftarPembeli)-ROW(PartsData!I$2)+1),ROWS(PartsData!I$2:'PartsData'!I36))),"")</f>
        <v/>
      </c>
      <c r="O36" t="str">
        <f ca="1">IF(N36="","",COUNTIF(ListCariPembeli,"&lt;="&amp;$N36))</f>
        <v/>
      </c>
      <c r="P36" t="str">
        <f ca="1">IF(O36="","",INDEX(ListCariPembeli,MATCH(ROWS($O$2:$O36),$O$2:$O$201,0)))</f>
        <v/>
      </c>
    </row>
    <row r="37" spans="4:16" ht="18" customHeight="1" x14ac:dyDescent="0.2">
      <c r="J37" t="str">
        <f t="array" aca="1" ref="J37" ca="1">IFERROR(INDEX(DaftarPembeli,SMALL(IF(OrderIDList=$I$2,ROW(DaftarPembeli)-ROW(PartsData!E$2)+1),ROWS(PartsData!E$2:'PartsData'!E37))),"")</f>
        <v/>
      </c>
      <c r="K37" t="str">
        <f ca="1">IF(J37="","",COUNTIF(ListPembeli,"&lt;="&amp;$J37))</f>
        <v/>
      </c>
      <c r="L37" t="str">
        <f ca="1">IF(K37="","",INDEX(ListPembeli,MATCH(ROWS($K$2:$K37),$K$2:$K$101,0)))</f>
        <v/>
      </c>
      <c r="N37" t="str">
        <f t="array" aca="1" ref="N37" ca="1">IFERROR(INDEX(DaftarPembeli,SMALL(IF(OrderIDList=$M$2,ROW(DaftarPembeli)-ROW(PartsData!I$2)+1),ROWS(PartsData!I$2:'PartsData'!I37))),"")</f>
        <v/>
      </c>
      <c r="O37" t="str">
        <f ca="1">IF(N37="","",COUNTIF(ListCariPembeli,"&lt;="&amp;$N37))</f>
        <v/>
      </c>
      <c r="P37" t="str">
        <f ca="1">IF(O37="","",INDEX(ListCariPembeli,MATCH(ROWS($O$2:$O37),$O$2:$O$201,0)))</f>
        <v/>
      </c>
    </row>
    <row r="38" spans="4:16" ht="18" customHeight="1" x14ac:dyDescent="0.2">
      <c r="J38" t="str">
        <f t="array" aca="1" ref="J38" ca="1">IFERROR(INDEX(DaftarPembeli,SMALL(IF(OrderIDList=$I$2,ROW(DaftarPembeli)-ROW(PartsData!E$2)+1),ROWS(PartsData!E$2:'PartsData'!E38))),"")</f>
        <v/>
      </c>
      <c r="K38" t="str">
        <f ca="1">IF(J38="","",COUNTIF(ListPembeli,"&lt;="&amp;$J38))</f>
        <v/>
      </c>
      <c r="L38" t="str">
        <f ca="1">IF(K38="","",INDEX(ListPembeli,MATCH(ROWS($K$2:$K38),$K$2:$K$101,0)))</f>
        <v/>
      </c>
      <c r="N38" t="str">
        <f t="array" aca="1" ref="N38" ca="1">IFERROR(INDEX(DaftarPembeli,SMALL(IF(OrderIDList=$M$2,ROW(DaftarPembeli)-ROW(PartsData!I$2)+1),ROWS(PartsData!I$2:'PartsData'!I38))),"")</f>
        <v/>
      </c>
      <c r="O38" t="str">
        <f ca="1">IF(N38="","",COUNTIF(ListCariPembeli,"&lt;="&amp;$N38))</f>
        <v/>
      </c>
      <c r="P38" t="str">
        <f ca="1">IF(O38="","",INDEX(ListCariPembeli,MATCH(ROWS($O$2:$O38),$O$2:$O$201,0)))</f>
        <v/>
      </c>
    </row>
    <row r="39" spans="4:16" ht="18" customHeight="1" x14ac:dyDescent="0.2">
      <c r="J39" t="str">
        <f t="array" aca="1" ref="J39" ca="1">IFERROR(INDEX(DaftarPembeli,SMALL(IF(OrderIDList=$I$2,ROW(DaftarPembeli)-ROW(PartsData!E$2)+1),ROWS(PartsData!E$2:'PartsData'!E39))),"")</f>
        <v/>
      </c>
      <c r="K39" t="str">
        <f ca="1">IF(J39="","",COUNTIF(ListPembeli,"&lt;="&amp;$J39))</f>
        <v/>
      </c>
      <c r="L39" t="str">
        <f ca="1">IF(K39="","",INDEX(ListPembeli,MATCH(ROWS($K$2:$K39),$K$2:$K$101,0)))</f>
        <v/>
      </c>
      <c r="N39" t="str">
        <f t="array" aca="1" ref="N39" ca="1">IFERROR(INDEX(DaftarPembeli,SMALL(IF(OrderIDList=$M$2,ROW(DaftarPembeli)-ROW(PartsData!I$2)+1),ROWS(PartsData!I$2:'PartsData'!I39))),"")</f>
        <v/>
      </c>
      <c r="O39" t="str">
        <f ca="1">IF(N39="","",COUNTIF(ListCariPembeli,"&lt;="&amp;$N39))</f>
        <v/>
      </c>
      <c r="P39" t="str">
        <f ca="1">IF(O39="","",INDEX(ListCariPembeli,MATCH(ROWS($O$2:$O39),$O$2:$O$201,0)))</f>
        <v/>
      </c>
    </row>
    <row r="40" spans="4:16" ht="18" customHeight="1" x14ac:dyDescent="0.2">
      <c r="J40" t="str">
        <f t="array" aca="1" ref="J40" ca="1">IFERROR(INDEX(DaftarPembeli,SMALL(IF(OrderIDList=$I$2,ROW(DaftarPembeli)-ROW(PartsData!E$2)+1),ROWS(PartsData!E$2:'PartsData'!E40))),"")</f>
        <v/>
      </c>
      <c r="K40" t="str">
        <f ca="1">IF(J40="","",COUNTIF(ListPembeli,"&lt;="&amp;$J40))</f>
        <v/>
      </c>
      <c r="L40" t="str">
        <f ca="1">IF(K40="","",INDEX(ListPembeli,MATCH(ROWS($K$2:$K40),$K$2:$K$101,0)))</f>
        <v/>
      </c>
      <c r="N40" t="str">
        <f t="array" aca="1" ref="N40" ca="1">IFERROR(INDEX(DaftarPembeli,SMALL(IF(OrderIDList=$M$2,ROW(DaftarPembeli)-ROW(PartsData!I$2)+1),ROWS(PartsData!I$2:'PartsData'!I40))),"")</f>
        <v/>
      </c>
      <c r="O40" t="str">
        <f ca="1">IF(N40="","",COUNTIF(ListCariPembeli,"&lt;="&amp;$N40))</f>
        <v/>
      </c>
      <c r="P40" t="str">
        <f ca="1">IF(O40="","",INDEX(ListCariPembeli,MATCH(ROWS($O$2:$O40),$O$2:$O$201,0)))</f>
        <v/>
      </c>
    </row>
    <row r="41" spans="4:16" ht="18" customHeight="1" x14ac:dyDescent="0.2">
      <c r="J41" t="str">
        <f t="array" aca="1" ref="J41" ca="1">IFERROR(INDEX(DaftarPembeli,SMALL(IF(OrderIDList=$I$2,ROW(DaftarPembeli)-ROW(PartsData!E$2)+1),ROWS(PartsData!E$2:'PartsData'!E41))),"")</f>
        <v/>
      </c>
      <c r="K41" t="str">
        <f ca="1">IF(J41="","",COUNTIF(ListPembeli,"&lt;="&amp;$J41))</f>
        <v/>
      </c>
      <c r="L41" t="str">
        <f ca="1">IF(K41="","",INDEX(ListPembeli,MATCH(ROWS($K$2:$K41),$K$2:$K$101,0)))</f>
        <v/>
      </c>
      <c r="N41" t="str">
        <f t="array" aca="1" ref="N41" ca="1">IFERROR(INDEX(DaftarPembeli,SMALL(IF(OrderIDList=$M$2,ROW(DaftarPembeli)-ROW(PartsData!I$2)+1),ROWS(PartsData!I$2:'PartsData'!I41))),"")</f>
        <v/>
      </c>
      <c r="O41" t="str">
        <f ca="1">IF(N41="","",COUNTIF(ListCariPembeli,"&lt;="&amp;$N41))</f>
        <v/>
      </c>
      <c r="P41" t="str">
        <f ca="1">IF(O41="","",INDEX(ListCariPembeli,MATCH(ROWS($O$2:$O41),$O$2:$O$201,0)))</f>
        <v/>
      </c>
    </row>
    <row r="42" spans="4:16" ht="18" customHeight="1" x14ac:dyDescent="0.2">
      <c r="J42" t="str">
        <f t="array" aca="1" ref="J42" ca="1">IFERROR(INDEX(DaftarPembeli,SMALL(IF(OrderIDList=$I$2,ROW(DaftarPembeli)-ROW(PartsData!E$2)+1),ROWS(PartsData!E$2:'PartsData'!E42))),"")</f>
        <v/>
      </c>
      <c r="K42" t="str">
        <f ca="1">IF(J42="","",COUNTIF(ListPembeli,"&lt;="&amp;$J42))</f>
        <v/>
      </c>
      <c r="L42" t="str">
        <f ca="1">IF(K42="","",INDEX(ListPembeli,MATCH(ROWS($K$2:$K42),$K$2:$K$101,0)))</f>
        <v/>
      </c>
      <c r="N42" t="str">
        <f t="array" aca="1" ref="N42" ca="1">IFERROR(INDEX(DaftarPembeli,SMALL(IF(OrderIDList=$M$2,ROW(DaftarPembeli)-ROW(PartsData!I$2)+1),ROWS(PartsData!I$2:'PartsData'!I42))),"")</f>
        <v/>
      </c>
      <c r="O42" t="str">
        <f ca="1">IF(N42="","",COUNTIF(ListCariPembeli,"&lt;="&amp;$N42))</f>
        <v/>
      </c>
      <c r="P42" t="str">
        <f ca="1">IF(O42="","",INDEX(ListCariPembeli,MATCH(ROWS($O$2:$O42),$O$2:$O$201,0)))</f>
        <v/>
      </c>
    </row>
    <row r="43" spans="4:16" ht="18" customHeight="1" x14ac:dyDescent="0.2">
      <c r="J43" t="str">
        <f t="array" aca="1" ref="J43" ca="1">IFERROR(INDEX(DaftarPembeli,SMALL(IF(OrderIDList=$I$2,ROW(DaftarPembeli)-ROW(PartsData!E$2)+1),ROWS(PartsData!E$2:'PartsData'!E43))),"")</f>
        <v/>
      </c>
      <c r="K43" t="str">
        <f ca="1">IF(J43="","",COUNTIF(ListPembeli,"&lt;="&amp;$J43))</f>
        <v/>
      </c>
      <c r="L43" t="str">
        <f ca="1">IF(K43="","",INDEX(ListPembeli,MATCH(ROWS($K$2:$K43),$K$2:$K$101,0)))</f>
        <v/>
      </c>
      <c r="N43" t="str">
        <f t="array" aca="1" ref="N43" ca="1">IFERROR(INDEX(DaftarPembeli,SMALL(IF(OrderIDList=$M$2,ROW(DaftarPembeli)-ROW(PartsData!I$2)+1),ROWS(PartsData!I$2:'PartsData'!I43))),"")</f>
        <v/>
      </c>
      <c r="O43" t="str">
        <f ca="1">IF(N43="","",COUNTIF(ListCariPembeli,"&lt;="&amp;$N43))</f>
        <v/>
      </c>
      <c r="P43" t="str">
        <f ca="1">IF(O43="","",INDEX(ListCariPembeli,MATCH(ROWS($O$2:$O43),$O$2:$O$201,0)))</f>
        <v/>
      </c>
    </row>
    <row r="44" spans="4:16" ht="18" customHeight="1" x14ac:dyDescent="0.2">
      <c r="J44" t="str">
        <f t="array" aca="1" ref="J44" ca="1">IFERROR(INDEX(DaftarPembeli,SMALL(IF(OrderIDList=$I$2,ROW(DaftarPembeli)-ROW(PartsData!E$2)+1),ROWS(PartsData!E$2:'PartsData'!E44))),"")</f>
        <v/>
      </c>
      <c r="K44" t="str">
        <f ca="1">IF(J44="","",COUNTIF(ListPembeli,"&lt;="&amp;$J44))</f>
        <v/>
      </c>
      <c r="L44" t="str">
        <f ca="1">IF(K44="","",INDEX(ListPembeli,MATCH(ROWS($K$2:$K44),$K$2:$K$101,0)))</f>
        <v/>
      </c>
      <c r="N44" t="str">
        <f t="array" aca="1" ref="N44" ca="1">IFERROR(INDEX(DaftarPembeli,SMALL(IF(OrderIDList=$M$2,ROW(DaftarPembeli)-ROW(PartsData!I$2)+1),ROWS(PartsData!I$2:'PartsData'!I44))),"")</f>
        <v/>
      </c>
      <c r="O44" t="str">
        <f ca="1">IF(N44="","",COUNTIF(ListCariPembeli,"&lt;="&amp;$N44))</f>
        <v/>
      </c>
      <c r="P44" t="str">
        <f ca="1">IF(O44="","",INDEX(ListCariPembeli,MATCH(ROWS($O$2:$O44),$O$2:$O$201,0)))</f>
        <v/>
      </c>
    </row>
    <row r="45" spans="4:16" ht="18" customHeight="1" x14ac:dyDescent="0.2">
      <c r="J45" t="str">
        <f t="array" aca="1" ref="J45" ca="1">IFERROR(INDEX(DaftarPembeli,SMALL(IF(OrderIDList=$I$2,ROW(DaftarPembeli)-ROW(PartsData!E$2)+1),ROWS(PartsData!E$2:'PartsData'!E45))),"")</f>
        <v/>
      </c>
      <c r="K45" t="str">
        <f ca="1">IF(J45="","",COUNTIF(ListPembeli,"&lt;="&amp;$J45))</f>
        <v/>
      </c>
      <c r="L45" t="str">
        <f ca="1">IF(K45="","",INDEX(ListPembeli,MATCH(ROWS($K$2:$K45),$K$2:$K$101,0)))</f>
        <v/>
      </c>
      <c r="N45" t="str">
        <f t="array" aca="1" ref="N45" ca="1">IFERROR(INDEX(DaftarPembeli,SMALL(IF(OrderIDList=$M$2,ROW(DaftarPembeli)-ROW(PartsData!I$2)+1),ROWS(PartsData!I$2:'PartsData'!I45))),"")</f>
        <v/>
      </c>
      <c r="O45" t="str">
        <f ca="1">IF(N45="","",COUNTIF(ListCariPembeli,"&lt;="&amp;$N45))</f>
        <v/>
      </c>
      <c r="P45" t="str">
        <f ca="1">IF(O45="","",INDEX(ListCariPembeli,MATCH(ROWS($O$2:$O45),$O$2:$O$201,0)))</f>
        <v/>
      </c>
    </row>
    <row r="46" spans="4:16" ht="18" customHeight="1" x14ac:dyDescent="0.2">
      <c r="J46" t="str">
        <f t="array" aca="1" ref="J46" ca="1">IFERROR(INDEX(DaftarPembeli,SMALL(IF(OrderIDList=$I$2,ROW(DaftarPembeli)-ROW(PartsData!E$2)+1),ROWS(PartsData!E$2:'PartsData'!E46))),"")</f>
        <v/>
      </c>
      <c r="K46" t="str">
        <f ca="1">IF(J46="","",COUNTIF(ListPembeli,"&lt;="&amp;$J46))</f>
        <v/>
      </c>
      <c r="L46" t="str">
        <f ca="1">IF(K46="","",INDEX(ListPembeli,MATCH(ROWS($K$2:$K46),$K$2:$K$101,0)))</f>
        <v/>
      </c>
      <c r="N46" t="str">
        <f t="array" aca="1" ref="N46" ca="1">IFERROR(INDEX(DaftarPembeli,SMALL(IF(OrderIDList=$M$2,ROW(DaftarPembeli)-ROW(PartsData!I$2)+1),ROWS(PartsData!I$2:'PartsData'!I46))),"")</f>
        <v/>
      </c>
      <c r="O46" t="str">
        <f ca="1">IF(N46="","",COUNTIF(ListCariPembeli,"&lt;="&amp;$N46))</f>
        <v/>
      </c>
      <c r="P46" t="str">
        <f ca="1">IF(O46="","",INDEX(ListCariPembeli,MATCH(ROWS($O$2:$O46),$O$2:$O$201,0)))</f>
        <v/>
      </c>
    </row>
    <row r="47" spans="4:16" ht="18" customHeight="1" x14ac:dyDescent="0.2">
      <c r="J47" t="str">
        <f t="array" aca="1" ref="J47" ca="1">IFERROR(INDEX(DaftarPembeli,SMALL(IF(OrderIDList=$I$2,ROW(DaftarPembeli)-ROW(PartsData!E$2)+1),ROWS(PartsData!E$2:'PartsData'!E47))),"")</f>
        <v/>
      </c>
      <c r="K47" t="str">
        <f ca="1">IF(J47="","",COUNTIF(ListPembeli,"&lt;="&amp;$J47))</f>
        <v/>
      </c>
      <c r="L47" t="str">
        <f ca="1">IF(K47="","",INDEX(ListPembeli,MATCH(ROWS($K$2:$K47),$K$2:$K$101,0)))</f>
        <v/>
      </c>
      <c r="N47" t="str">
        <f t="array" aca="1" ref="N47" ca="1">IFERROR(INDEX(DaftarPembeli,SMALL(IF(OrderIDList=$M$2,ROW(DaftarPembeli)-ROW(PartsData!I$2)+1),ROWS(PartsData!I$2:'PartsData'!I47))),"")</f>
        <v/>
      </c>
      <c r="O47" t="str">
        <f ca="1">IF(N47="","",COUNTIF(ListCariPembeli,"&lt;="&amp;$N47))</f>
        <v/>
      </c>
      <c r="P47" t="str">
        <f ca="1">IF(O47="","",INDEX(ListCariPembeli,MATCH(ROWS($O$2:$O47),$O$2:$O$201,0)))</f>
        <v/>
      </c>
    </row>
    <row r="48" spans="4:16" ht="18" customHeight="1" x14ac:dyDescent="0.2">
      <c r="J48" t="str">
        <f t="array" aca="1" ref="J48" ca="1">IFERROR(INDEX(DaftarPembeli,SMALL(IF(OrderIDList=$I$2,ROW(DaftarPembeli)-ROW(PartsData!E$2)+1),ROWS(PartsData!E$2:'PartsData'!E48))),"")</f>
        <v/>
      </c>
      <c r="K48" t="str">
        <f ca="1">IF(J48="","",COUNTIF(ListPembeli,"&lt;="&amp;$J48))</f>
        <v/>
      </c>
      <c r="L48" t="str">
        <f ca="1">IF(K48="","",INDEX(ListPembeli,MATCH(ROWS($K$2:$K48),$K$2:$K$101,0)))</f>
        <v/>
      </c>
      <c r="N48" t="str">
        <f t="array" aca="1" ref="N48" ca="1">IFERROR(INDEX(DaftarPembeli,SMALL(IF(OrderIDList=$M$2,ROW(DaftarPembeli)-ROW(PartsData!I$2)+1),ROWS(PartsData!I$2:'PartsData'!I48))),"")</f>
        <v/>
      </c>
      <c r="O48" t="str">
        <f ca="1">IF(N48="","",COUNTIF(ListCariPembeli,"&lt;="&amp;$N48))</f>
        <v/>
      </c>
      <c r="P48" t="str">
        <f ca="1">IF(O48="","",INDEX(ListCariPembeli,MATCH(ROWS($O$2:$O48),$O$2:$O$201,0)))</f>
        <v/>
      </c>
    </row>
    <row r="49" spans="10:16" ht="18" customHeight="1" x14ac:dyDescent="0.2">
      <c r="J49" t="str">
        <f t="array" aca="1" ref="J49" ca="1">IFERROR(INDEX(DaftarPembeli,SMALL(IF(OrderIDList=$I$2,ROW(DaftarPembeli)-ROW(PartsData!E$2)+1),ROWS(PartsData!E$2:'PartsData'!E49))),"")</f>
        <v/>
      </c>
      <c r="K49" t="str">
        <f ca="1">IF(J49="","",COUNTIF(ListPembeli,"&lt;="&amp;$J49))</f>
        <v/>
      </c>
      <c r="L49" t="str">
        <f ca="1">IF(K49="","",INDEX(ListPembeli,MATCH(ROWS($K$2:$K49),$K$2:$K$101,0)))</f>
        <v/>
      </c>
      <c r="N49" t="str">
        <f t="array" aca="1" ref="N49" ca="1">IFERROR(INDEX(DaftarPembeli,SMALL(IF(OrderIDList=$M$2,ROW(DaftarPembeli)-ROW(PartsData!I$2)+1),ROWS(PartsData!I$2:'PartsData'!I49))),"")</f>
        <v/>
      </c>
      <c r="O49" t="str">
        <f ca="1">IF(N49="","",COUNTIF(ListCariPembeli,"&lt;="&amp;$N49))</f>
        <v/>
      </c>
      <c r="P49" t="str">
        <f ca="1">IF(O49="","",INDEX(ListCariPembeli,MATCH(ROWS($O$2:$O49),$O$2:$O$201,0)))</f>
        <v/>
      </c>
    </row>
    <row r="50" spans="10:16" ht="18" customHeight="1" x14ac:dyDescent="0.2">
      <c r="J50" t="str">
        <f t="array" aca="1" ref="J50" ca="1">IFERROR(INDEX(DaftarPembeli,SMALL(IF(OrderIDList=$I$2,ROW(DaftarPembeli)-ROW(PartsData!E$2)+1),ROWS(PartsData!E$2:'PartsData'!E50))),"")</f>
        <v/>
      </c>
      <c r="K50" t="str">
        <f ca="1">IF(J50="","",COUNTIF(ListPembeli,"&lt;="&amp;$J50))</f>
        <v/>
      </c>
      <c r="L50" t="str">
        <f ca="1">IF(K50="","",INDEX(ListPembeli,MATCH(ROWS($K$2:$K50),$K$2:$K$101,0)))</f>
        <v/>
      </c>
      <c r="N50" t="str">
        <f t="array" aca="1" ref="N50" ca="1">IFERROR(INDEX(DaftarPembeli,SMALL(IF(OrderIDList=$M$2,ROW(DaftarPembeli)-ROW(PartsData!I$2)+1),ROWS(PartsData!I$2:'PartsData'!I50))),"")</f>
        <v/>
      </c>
      <c r="O50" t="str">
        <f ca="1">IF(N50="","",COUNTIF(ListCariPembeli,"&lt;="&amp;$N50))</f>
        <v/>
      </c>
      <c r="P50" t="str">
        <f ca="1">IF(O50="","",INDEX(ListCariPembeli,MATCH(ROWS($O$2:$O50),$O$2:$O$201,0)))</f>
        <v/>
      </c>
    </row>
    <row r="51" spans="10:16" ht="18" customHeight="1" x14ac:dyDescent="0.2">
      <c r="J51" t="str">
        <f t="array" aca="1" ref="J51" ca="1">IFERROR(INDEX(DaftarPembeli,SMALL(IF(OrderIDList=$I$2,ROW(DaftarPembeli)-ROW(PartsData!E$2)+1),ROWS(PartsData!E$2:'PartsData'!E51))),"")</f>
        <v/>
      </c>
      <c r="K51" t="str">
        <f ca="1">IF(J51="","",COUNTIF(ListPembeli,"&lt;="&amp;$J51))</f>
        <v/>
      </c>
      <c r="L51" t="str">
        <f ca="1">IF(K51="","",INDEX(ListPembeli,MATCH(ROWS($K$2:$K51),$K$2:$K$101,0)))</f>
        <v/>
      </c>
      <c r="N51" t="str">
        <f t="array" aca="1" ref="N51" ca="1">IFERROR(INDEX(DaftarPembeli,SMALL(IF(OrderIDList=$M$2,ROW(DaftarPembeli)-ROW(PartsData!I$2)+1),ROWS(PartsData!I$2:'PartsData'!I51))),"")</f>
        <v/>
      </c>
      <c r="O51" t="str">
        <f ca="1">IF(N51="","",COUNTIF(ListCariPembeli,"&lt;="&amp;$N51))</f>
        <v/>
      </c>
      <c r="P51" t="str">
        <f ca="1">IF(O51="","",INDEX(ListCariPembeli,MATCH(ROWS($O$2:$O51),$O$2:$O$201,0)))</f>
        <v/>
      </c>
    </row>
    <row r="52" spans="10:16" ht="18" customHeight="1" x14ac:dyDescent="0.2">
      <c r="J52" t="str">
        <f t="array" aca="1" ref="J52" ca="1">IFERROR(INDEX(DaftarPembeli,SMALL(IF(OrderIDList=$I$2,ROW(DaftarPembeli)-ROW(PartsData!E$2)+1),ROWS(PartsData!E$2:'PartsData'!E52))),"")</f>
        <v/>
      </c>
      <c r="K52" t="str">
        <f ca="1">IF(J52="","",COUNTIF(ListPembeli,"&lt;="&amp;$J52))</f>
        <v/>
      </c>
      <c r="L52" t="str">
        <f ca="1">IF(K52="","",INDEX(ListPembeli,MATCH(ROWS($K$2:$K52),$K$2:$K$101,0)))</f>
        <v/>
      </c>
      <c r="N52" t="str">
        <f t="array" aca="1" ref="N52" ca="1">IFERROR(INDEX(DaftarPembeli,SMALL(IF(OrderIDList=$M$2,ROW(DaftarPembeli)-ROW(PartsData!I$2)+1),ROWS(PartsData!I$2:'PartsData'!I52))),"")</f>
        <v/>
      </c>
      <c r="O52" t="str">
        <f ca="1">IF(N52="","",COUNTIF(ListCariPembeli,"&lt;="&amp;$N52))</f>
        <v/>
      </c>
      <c r="P52" t="str">
        <f ca="1">IF(O52="","",INDEX(ListCariPembeli,MATCH(ROWS($O$2:$O52),$O$2:$O$201,0)))</f>
        <v/>
      </c>
    </row>
    <row r="53" spans="10:16" ht="18" customHeight="1" x14ac:dyDescent="0.2">
      <c r="J53" t="str">
        <f t="array" aca="1" ref="J53" ca="1">IFERROR(INDEX(DaftarPembeli,SMALL(IF(OrderIDList=$I$2,ROW(DaftarPembeli)-ROW(PartsData!E$2)+1),ROWS(PartsData!E$2:'PartsData'!E53))),"")</f>
        <v/>
      </c>
      <c r="K53" t="str">
        <f ca="1">IF(J53="","",COUNTIF(ListPembeli,"&lt;="&amp;$J53))</f>
        <v/>
      </c>
      <c r="L53" t="str">
        <f ca="1">IF(K53="","",INDEX(ListPembeli,MATCH(ROWS($K$2:$K53),$K$2:$K$101,0)))</f>
        <v/>
      </c>
      <c r="N53" t="str">
        <f t="array" aca="1" ref="N53" ca="1">IFERROR(INDEX(DaftarPembeli,SMALL(IF(OrderIDList=$M$2,ROW(DaftarPembeli)-ROW(PartsData!I$2)+1),ROWS(PartsData!I$2:'PartsData'!I53))),"")</f>
        <v/>
      </c>
      <c r="O53" t="str">
        <f ca="1">IF(N53="","",COUNTIF(ListCariPembeli,"&lt;="&amp;$N53))</f>
        <v/>
      </c>
      <c r="P53" t="str">
        <f ca="1">IF(O53="","",INDEX(ListCariPembeli,MATCH(ROWS($O$2:$O53),$O$2:$O$201,0)))</f>
        <v/>
      </c>
    </row>
    <row r="54" spans="10:16" ht="18" customHeight="1" x14ac:dyDescent="0.2">
      <c r="J54" t="str">
        <f t="array" aca="1" ref="J54" ca="1">IFERROR(INDEX(DaftarPembeli,SMALL(IF(OrderIDList=$I$2,ROW(DaftarPembeli)-ROW(PartsData!E$2)+1),ROWS(PartsData!E$2:'PartsData'!E54))),"")</f>
        <v/>
      </c>
      <c r="K54" t="str">
        <f ca="1">IF(J54="","",COUNTIF(ListPembeli,"&lt;="&amp;$J54))</f>
        <v/>
      </c>
      <c r="L54" t="str">
        <f ca="1">IF(K54="","",INDEX(ListPembeli,MATCH(ROWS($K$2:$K54),$K$2:$K$101,0)))</f>
        <v/>
      </c>
      <c r="N54" t="str">
        <f t="array" aca="1" ref="N54" ca="1">IFERROR(INDEX(DaftarPembeli,SMALL(IF(OrderIDList=$M$2,ROW(DaftarPembeli)-ROW(PartsData!I$2)+1),ROWS(PartsData!I$2:'PartsData'!I54))),"")</f>
        <v/>
      </c>
      <c r="O54" t="str">
        <f ca="1">IF(N54="","",COUNTIF(ListCariPembeli,"&lt;="&amp;$N54))</f>
        <v/>
      </c>
      <c r="P54" t="str">
        <f ca="1">IF(O54="","",INDEX(ListCariPembeli,MATCH(ROWS($O$2:$O54),$O$2:$O$201,0)))</f>
        <v/>
      </c>
    </row>
    <row r="55" spans="10:16" ht="18" customHeight="1" x14ac:dyDescent="0.2">
      <c r="J55" t="str">
        <f t="array" aca="1" ref="J55" ca="1">IFERROR(INDEX(DaftarPembeli,SMALL(IF(OrderIDList=$I$2,ROW(DaftarPembeli)-ROW(PartsData!E$2)+1),ROWS(PartsData!E$2:'PartsData'!E55))),"")</f>
        <v/>
      </c>
      <c r="K55" t="str">
        <f ca="1">IF(J55="","",COUNTIF(ListPembeli,"&lt;="&amp;$J55))</f>
        <v/>
      </c>
      <c r="L55" t="str">
        <f ca="1">IF(K55="","",INDEX(ListPembeli,MATCH(ROWS($K$2:$K55),$K$2:$K$101,0)))</f>
        <v/>
      </c>
      <c r="N55" t="str">
        <f t="array" aca="1" ref="N55" ca="1">IFERROR(INDEX(DaftarPembeli,SMALL(IF(OrderIDList=$M$2,ROW(DaftarPembeli)-ROW(PartsData!I$2)+1),ROWS(PartsData!I$2:'PartsData'!I55))),"")</f>
        <v/>
      </c>
      <c r="O55" t="str">
        <f ca="1">IF(N55="","",COUNTIF(ListCariPembeli,"&lt;="&amp;$N55))</f>
        <v/>
      </c>
      <c r="P55" t="str">
        <f ca="1">IF(O55="","",INDEX(ListCariPembeli,MATCH(ROWS($O$2:$O55),$O$2:$O$201,0)))</f>
        <v/>
      </c>
    </row>
    <row r="56" spans="10:16" ht="18" customHeight="1" x14ac:dyDescent="0.2">
      <c r="J56" t="str">
        <f t="array" aca="1" ref="J56" ca="1">IFERROR(INDEX(DaftarPembeli,SMALL(IF(OrderIDList=$I$2,ROW(DaftarPembeli)-ROW(PartsData!E$2)+1),ROWS(PartsData!E$2:'PartsData'!E56))),"")</f>
        <v/>
      </c>
      <c r="K56" t="str">
        <f ca="1">IF(J56="","",COUNTIF(ListPembeli,"&lt;="&amp;$J56))</f>
        <v/>
      </c>
      <c r="L56" t="str">
        <f ca="1">IF(K56="","",INDEX(ListPembeli,MATCH(ROWS($K$2:$K56),$K$2:$K$101,0)))</f>
        <v/>
      </c>
      <c r="N56" t="str">
        <f t="array" aca="1" ref="N56" ca="1">IFERROR(INDEX(DaftarPembeli,SMALL(IF(OrderIDList=$M$2,ROW(DaftarPembeli)-ROW(PartsData!I$2)+1),ROWS(PartsData!I$2:'PartsData'!I56))),"")</f>
        <v/>
      </c>
      <c r="O56" t="str">
        <f ca="1">IF(N56="","",COUNTIF(ListCariPembeli,"&lt;="&amp;$N56))</f>
        <v/>
      </c>
      <c r="P56" t="str">
        <f ca="1">IF(O56="","",INDEX(ListCariPembeli,MATCH(ROWS($O$2:$O56),$O$2:$O$201,0)))</f>
        <v/>
      </c>
    </row>
    <row r="57" spans="10:16" ht="18" customHeight="1" x14ac:dyDescent="0.2">
      <c r="J57" t="str">
        <f t="array" aca="1" ref="J57" ca="1">IFERROR(INDEX(DaftarPembeli,SMALL(IF(OrderIDList=$I$2,ROW(DaftarPembeli)-ROW(PartsData!E$2)+1),ROWS(PartsData!E$2:'PartsData'!E57))),"")</f>
        <v/>
      </c>
      <c r="K57" t="str">
        <f ca="1">IF(J57="","",COUNTIF(ListPembeli,"&lt;="&amp;$J57))</f>
        <v/>
      </c>
      <c r="L57" t="str">
        <f ca="1">IF(K57="","",INDEX(ListPembeli,MATCH(ROWS($K$2:$K57),$K$2:$K$101,0)))</f>
        <v/>
      </c>
      <c r="N57" t="str">
        <f t="array" aca="1" ref="N57" ca="1">IFERROR(INDEX(DaftarPembeli,SMALL(IF(OrderIDList=$M$2,ROW(DaftarPembeli)-ROW(PartsData!I$2)+1),ROWS(PartsData!I$2:'PartsData'!I57))),"")</f>
        <v/>
      </c>
      <c r="O57" t="str">
        <f ca="1">IF(N57="","",COUNTIF(ListCariPembeli,"&lt;="&amp;$N57))</f>
        <v/>
      </c>
      <c r="P57" t="str">
        <f ca="1">IF(O57="","",INDEX(ListCariPembeli,MATCH(ROWS($O$2:$O57),$O$2:$O$201,0)))</f>
        <v/>
      </c>
    </row>
    <row r="58" spans="10:16" ht="18" customHeight="1" x14ac:dyDescent="0.2">
      <c r="J58" t="str">
        <f t="array" aca="1" ref="J58" ca="1">IFERROR(INDEX(DaftarPembeli,SMALL(IF(OrderIDList=$I$2,ROW(DaftarPembeli)-ROW(PartsData!E$2)+1),ROWS(PartsData!E$2:'PartsData'!E58))),"")</f>
        <v/>
      </c>
      <c r="K58" t="str">
        <f ca="1">IF(J58="","",COUNTIF(ListPembeli,"&lt;="&amp;$J58))</f>
        <v/>
      </c>
      <c r="L58" t="str">
        <f ca="1">IF(K58="","",INDEX(ListPembeli,MATCH(ROWS($K$2:$K58),$K$2:$K$101,0)))</f>
        <v/>
      </c>
      <c r="N58" t="str">
        <f t="array" aca="1" ref="N58" ca="1">IFERROR(INDEX(DaftarPembeli,SMALL(IF(OrderIDList=$M$2,ROW(DaftarPembeli)-ROW(PartsData!I$2)+1),ROWS(PartsData!I$2:'PartsData'!I58))),"")</f>
        <v/>
      </c>
      <c r="O58" t="str">
        <f ca="1">IF(N58="","",COUNTIF(ListCariPembeli,"&lt;="&amp;$N58))</f>
        <v/>
      </c>
      <c r="P58" t="str">
        <f ca="1">IF(O58="","",INDEX(ListCariPembeli,MATCH(ROWS($O$2:$O58),$O$2:$O$201,0)))</f>
        <v/>
      </c>
    </row>
    <row r="59" spans="10:16" ht="18" customHeight="1" x14ac:dyDescent="0.2">
      <c r="J59" t="str">
        <f t="array" aca="1" ref="J59" ca="1">IFERROR(INDEX(DaftarPembeli,SMALL(IF(OrderIDList=$I$2,ROW(DaftarPembeli)-ROW(PartsData!E$2)+1),ROWS(PartsData!E$2:'PartsData'!E59))),"")</f>
        <v/>
      </c>
      <c r="K59" t="str">
        <f ca="1">IF(J59="","",COUNTIF(ListPembeli,"&lt;="&amp;$J59))</f>
        <v/>
      </c>
      <c r="L59" t="str">
        <f ca="1">IF(K59="","",INDEX(ListPembeli,MATCH(ROWS($K$2:$K59),$K$2:$K$101,0)))</f>
        <v/>
      </c>
      <c r="N59" t="str">
        <f t="array" aca="1" ref="N59" ca="1">IFERROR(INDEX(DaftarPembeli,SMALL(IF(OrderIDList=$M$2,ROW(DaftarPembeli)-ROW(PartsData!I$2)+1),ROWS(PartsData!I$2:'PartsData'!I59))),"")</f>
        <v/>
      </c>
      <c r="O59" t="str">
        <f ca="1">IF(N59="","",COUNTIF(ListCariPembeli,"&lt;="&amp;$N59))</f>
        <v/>
      </c>
      <c r="P59" t="str">
        <f ca="1">IF(O59="","",INDEX(ListCariPembeli,MATCH(ROWS($O$2:$O59),$O$2:$O$201,0)))</f>
        <v/>
      </c>
    </row>
    <row r="60" spans="10:16" ht="18" customHeight="1" x14ac:dyDescent="0.2">
      <c r="J60" t="str">
        <f t="array" aca="1" ref="J60" ca="1">IFERROR(INDEX(DaftarPembeli,SMALL(IF(OrderIDList=$I$2,ROW(DaftarPembeli)-ROW(PartsData!E$2)+1),ROWS(PartsData!E$2:'PartsData'!E60))),"")</f>
        <v/>
      </c>
      <c r="K60" t="str">
        <f ca="1">IF(J60="","",COUNTIF(ListPembeli,"&lt;="&amp;$J60))</f>
        <v/>
      </c>
      <c r="L60" t="str">
        <f ca="1">IF(K60="","",INDEX(ListPembeli,MATCH(ROWS($K$2:$K60),$K$2:$K$101,0)))</f>
        <v/>
      </c>
      <c r="N60" t="str">
        <f t="array" aca="1" ref="N60" ca="1">IFERROR(INDEX(DaftarPembeli,SMALL(IF(OrderIDList=$M$2,ROW(DaftarPembeli)-ROW(PartsData!I$2)+1),ROWS(PartsData!I$2:'PartsData'!I60))),"")</f>
        <v/>
      </c>
      <c r="O60" t="str">
        <f ca="1">IF(N60="","",COUNTIF(ListCariPembeli,"&lt;="&amp;$N60))</f>
        <v/>
      </c>
      <c r="P60" t="str">
        <f ca="1">IF(O60="","",INDEX(ListCariPembeli,MATCH(ROWS($O$2:$O60),$O$2:$O$201,0)))</f>
        <v/>
      </c>
    </row>
    <row r="61" spans="10:16" ht="18" customHeight="1" x14ac:dyDescent="0.2">
      <c r="J61" t="str">
        <f t="array" aca="1" ref="J61" ca="1">IFERROR(INDEX(DaftarPembeli,SMALL(IF(OrderIDList=$I$2,ROW(DaftarPembeli)-ROW(PartsData!E$2)+1),ROWS(PartsData!E$2:'PartsData'!E61))),"")</f>
        <v/>
      </c>
      <c r="K61" t="str">
        <f ca="1">IF(J61="","",COUNTIF(ListPembeli,"&lt;="&amp;$J61))</f>
        <v/>
      </c>
      <c r="L61" t="str">
        <f ca="1">IF(K61="","",INDEX(ListPembeli,MATCH(ROWS($K$2:$K61),$K$2:$K$101,0)))</f>
        <v/>
      </c>
      <c r="N61" t="str">
        <f t="array" aca="1" ref="N61" ca="1">IFERROR(INDEX(DaftarPembeli,SMALL(IF(OrderIDList=$M$2,ROW(DaftarPembeli)-ROW(PartsData!I$2)+1),ROWS(PartsData!I$2:'PartsData'!I61))),"")</f>
        <v/>
      </c>
      <c r="O61" t="str">
        <f ca="1">IF(N61="","",COUNTIF(ListCariPembeli,"&lt;="&amp;$N61))</f>
        <v/>
      </c>
      <c r="P61" t="str">
        <f ca="1">IF(O61="","",INDEX(ListCariPembeli,MATCH(ROWS($O$2:$O61),$O$2:$O$201,0)))</f>
        <v/>
      </c>
    </row>
    <row r="62" spans="10:16" ht="18" customHeight="1" x14ac:dyDescent="0.2">
      <c r="J62" t="str">
        <f t="array" aca="1" ref="J62" ca="1">IFERROR(INDEX(DaftarPembeli,SMALL(IF(OrderIDList=$I$2,ROW(DaftarPembeli)-ROW(PartsData!E$2)+1),ROWS(PartsData!E$2:'PartsData'!E62))),"")</f>
        <v/>
      </c>
      <c r="K62" t="str">
        <f ca="1">IF(J62="","",COUNTIF(ListPembeli,"&lt;="&amp;$J62))</f>
        <v/>
      </c>
      <c r="L62" t="str">
        <f ca="1">IF(K62="","",INDEX(ListPembeli,MATCH(ROWS($K$2:$K62),$K$2:$K$101,0)))</f>
        <v/>
      </c>
      <c r="N62" t="str">
        <f t="array" aca="1" ref="N62" ca="1">IFERROR(INDEX(DaftarPembeli,SMALL(IF(OrderIDList=$M$2,ROW(DaftarPembeli)-ROW(PartsData!I$2)+1),ROWS(PartsData!I$2:'PartsData'!I62))),"")</f>
        <v/>
      </c>
      <c r="O62" t="str">
        <f ca="1">IF(N62="","",COUNTIF(ListCariPembeli,"&lt;="&amp;$N62))</f>
        <v/>
      </c>
      <c r="P62" t="str">
        <f ca="1">IF(O62="","",INDEX(ListCariPembeli,MATCH(ROWS($O$2:$O62),$O$2:$O$201,0)))</f>
        <v/>
      </c>
    </row>
    <row r="63" spans="10:16" ht="18" customHeight="1" x14ac:dyDescent="0.2">
      <c r="J63" t="str">
        <f t="array" aca="1" ref="J63" ca="1">IFERROR(INDEX(DaftarPembeli,SMALL(IF(OrderIDList=$I$2,ROW(DaftarPembeli)-ROW(PartsData!E$2)+1),ROWS(PartsData!E$2:'PartsData'!E63))),"")</f>
        <v/>
      </c>
      <c r="K63" t="str">
        <f ca="1">IF(J63="","",COUNTIF(ListPembeli,"&lt;="&amp;$J63))</f>
        <v/>
      </c>
      <c r="L63" t="str">
        <f ca="1">IF(K63="","",INDEX(ListPembeli,MATCH(ROWS($K$2:$K63),$K$2:$K$101,0)))</f>
        <v/>
      </c>
      <c r="N63" t="str">
        <f t="array" aca="1" ref="N63" ca="1">IFERROR(INDEX(DaftarPembeli,SMALL(IF(OrderIDList=$M$2,ROW(DaftarPembeli)-ROW(PartsData!I$2)+1),ROWS(PartsData!I$2:'PartsData'!I63))),"")</f>
        <v/>
      </c>
      <c r="O63" t="str">
        <f ca="1">IF(N63="","",COUNTIF(ListCariPembeli,"&lt;="&amp;$N63))</f>
        <v/>
      </c>
      <c r="P63" t="str">
        <f ca="1">IF(O63="","",INDEX(ListCariPembeli,MATCH(ROWS($O$2:$O63),$O$2:$O$201,0)))</f>
        <v/>
      </c>
    </row>
    <row r="64" spans="10:16" ht="18" customHeight="1" x14ac:dyDescent="0.2">
      <c r="J64" t="str">
        <f t="array" aca="1" ref="J64" ca="1">IFERROR(INDEX(DaftarPembeli,SMALL(IF(OrderIDList=$I$2,ROW(DaftarPembeli)-ROW(PartsData!E$2)+1),ROWS(PartsData!E$2:'PartsData'!E64))),"")</f>
        <v/>
      </c>
      <c r="K64" t="str">
        <f ca="1">IF(J64="","",COUNTIF(ListPembeli,"&lt;="&amp;$J64))</f>
        <v/>
      </c>
      <c r="L64" t="str">
        <f ca="1">IF(K64="","",INDEX(ListPembeli,MATCH(ROWS($K$2:$K64),$K$2:$K$101,0)))</f>
        <v/>
      </c>
      <c r="N64" t="str">
        <f t="array" aca="1" ref="N64" ca="1">IFERROR(INDEX(DaftarPembeli,SMALL(IF(OrderIDList=$M$2,ROW(DaftarPembeli)-ROW(PartsData!I$2)+1),ROWS(PartsData!I$2:'PartsData'!I64))),"")</f>
        <v/>
      </c>
      <c r="O64" t="str">
        <f ca="1">IF(N64="","",COUNTIF(ListCariPembeli,"&lt;="&amp;$N64))</f>
        <v/>
      </c>
      <c r="P64" t="str">
        <f ca="1">IF(O64="","",INDEX(ListCariPembeli,MATCH(ROWS($O$2:$O64),$O$2:$O$201,0)))</f>
        <v/>
      </c>
    </row>
    <row r="65" spans="10:16" ht="18" customHeight="1" x14ac:dyDescent="0.2">
      <c r="J65" t="str">
        <f t="array" aca="1" ref="J65" ca="1">IFERROR(INDEX(DaftarPembeli,SMALL(IF(OrderIDList=$I$2,ROW(DaftarPembeli)-ROW(PartsData!E$2)+1),ROWS(PartsData!E$2:'PartsData'!E65))),"")</f>
        <v/>
      </c>
      <c r="K65" t="str">
        <f ca="1">IF(J65="","",COUNTIF(ListPembeli,"&lt;="&amp;$J65))</f>
        <v/>
      </c>
      <c r="L65" t="str">
        <f ca="1">IF(K65="","",INDEX(ListPembeli,MATCH(ROWS($K$2:$K65),$K$2:$K$101,0)))</f>
        <v/>
      </c>
      <c r="N65" t="str">
        <f t="array" aca="1" ref="N65" ca="1">IFERROR(INDEX(DaftarPembeli,SMALL(IF(OrderIDList=$M$2,ROW(DaftarPembeli)-ROW(PartsData!I$2)+1),ROWS(PartsData!I$2:'PartsData'!I65))),"")</f>
        <v/>
      </c>
      <c r="O65" t="str">
        <f ca="1">IF(N65="","",COUNTIF(ListCariPembeli,"&lt;="&amp;$N65))</f>
        <v/>
      </c>
      <c r="P65" t="str">
        <f ca="1">IF(O65="","",INDEX(ListCariPembeli,MATCH(ROWS($O$2:$O65),$O$2:$O$201,0)))</f>
        <v/>
      </c>
    </row>
    <row r="66" spans="10:16" ht="18" customHeight="1" x14ac:dyDescent="0.2">
      <c r="J66" t="str">
        <f t="array" aca="1" ref="J66" ca="1">IFERROR(INDEX(DaftarPembeli,SMALL(IF(OrderIDList=$I$2,ROW(DaftarPembeli)-ROW(PartsData!E$2)+1),ROWS(PartsData!E$2:'PartsData'!E66))),"")</f>
        <v/>
      </c>
      <c r="K66" t="str">
        <f ca="1">IF(J66="","",COUNTIF(ListPembeli,"&lt;="&amp;$J66))</f>
        <v/>
      </c>
      <c r="L66" t="str">
        <f ca="1">IF(K66="","",INDEX(ListPembeli,MATCH(ROWS($K$2:$K66),$K$2:$K$101,0)))</f>
        <v/>
      </c>
      <c r="N66" t="str">
        <f t="array" aca="1" ref="N66" ca="1">IFERROR(INDEX(DaftarPembeli,SMALL(IF(OrderIDList=$M$2,ROW(DaftarPembeli)-ROW(PartsData!I$2)+1),ROWS(PartsData!I$2:'PartsData'!I66))),"")</f>
        <v/>
      </c>
      <c r="O66" t="str">
        <f ca="1">IF(N66="","",COUNTIF(ListCariPembeli,"&lt;="&amp;$N66))</f>
        <v/>
      </c>
      <c r="P66" t="str">
        <f ca="1">IF(O66="","",INDEX(ListCariPembeli,MATCH(ROWS($O$2:$O66),$O$2:$O$201,0)))</f>
        <v/>
      </c>
    </row>
    <row r="67" spans="10:16" x14ac:dyDescent="0.2">
      <c r="J67" t="str">
        <f t="array" aca="1" ref="J67" ca="1">IFERROR(INDEX(DaftarPembeli,SMALL(IF(OrderIDList=$I$2,ROW(DaftarPembeli)-ROW(PartsData!E$2)+1),ROWS(PartsData!E$2:'PartsData'!E67))),"")</f>
        <v/>
      </c>
      <c r="K67" t="str">
        <f ca="1">IF(J67="","",COUNTIF(ListPembeli,"&lt;="&amp;$J67))</f>
        <v/>
      </c>
      <c r="L67" t="str">
        <f ca="1">IF(K67="","",INDEX(ListPembeli,MATCH(ROWS($K$2:$K67),$K$2:$K$101,0)))</f>
        <v/>
      </c>
      <c r="N67" t="str">
        <f t="array" aca="1" ref="N67" ca="1">IFERROR(INDEX(DaftarPembeli,SMALL(IF(OrderIDList=$M$2,ROW(DaftarPembeli)-ROW(PartsData!I$2)+1),ROWS(PartsData!I$2:'PartsData'!I67))),"")</f>
        <v/>
      </c>
      <c r="O67" t="str">
        <f ca="1">IF(N67="","",COUNTIF(ListCariPembeli,"&lt;="&amp;$N67))</f>
        <v/>
      </c>
      <c r="P67" t="str">
        <f ca="1">IF(O67="","",INDEX(ListCariPembeli,MATCH(ROWS($O$2:$O67),$O$2:$O$201,0)))</f>
        <v/>
      </c>
    </row>
    <row r="68" spans="10:16" x14ac:dyDescent="0.2">
      <c r="J68" t="str">
        <f t="array" aca="1" ref="J68" ca="1">IFERROR(INDEX(DaftarPembeli,SMALL(IF(OrderIDList=$I$2,ROW(DaftarPembeli)-ROW(PartsData!E$2)+1),ROWS(PartsData!E$2:'PartsData'!E68))),"")</f>
        <v/>
      </c>
      <c r="K68" t="str">
        <f ca="1">IF(J68="","",COUNTIF(ListPembeli,"&lt;="&amp;$J68))</f>
        <v/>
      </c>
      <c r="L68" t="str">
        <f ca="1">IF(K68="","",INDEX(ListPembeli,MATCH(ROWS($K$2:$K68),$K$2:$K$101,0)))</f>
        <v/>
      </c>
      <c r="N68" t="str">
        <f t="array" aca="1" ref="N68" ca="1">IFERROR(INDEX(DaftarPembeli,SMALL(IF(OrderIDList=$M$2,ROW(DaftarPembeli)-ROW(PartsData!I$2)+1),ROWS(PartsData!I$2:'PartsData'!I68))),"")</f>
        <v/>
      </c>
      <c r="O68" t="str">
        <f ca="1">IF(N68="","",COUNTIF(ListCariPembeli,"&lt;="&amp;$N68))</f>
        <v/>
      </c>
      <c r="P68" t="str">
        <f ca="1">IF(O68="","",INDEX(ListCariPembeli,MATCH(ROWS($O$2:$O68),$O$2:$O$201,0)))</f>
        <v/>
      </c>
    </row>
    <row r="69" spans="10:16" x14ac:dyDescent="0.2">
      <c r="J69" t="str">
        <f t="array" aca="1" ref="J69" ca="1">IFERROR(INDEX(DaftarPembeli,SMALL(IF(OrderIDList=$I$2,ROW(DaftarPembeli)-ROW(PartsData!E$2)+1),ROWS(PartsData!E$2:'PartsData'!E69))),"")</f>
        <v/>
      </c>
      <c r="K69" t="str">
        <f ca="1">IF(J69="","",COUNTIF(ListPembeli,"&lt;="&amp;$J69))</f>
        <v/>
      </c>
      <c r="L69" t="str">
        <f ca="1">IF(K69="","",INDEX(ListPembeli,MATCH(ROWS($K$2:$K69),$K$2:$K$101,0)))</f>
        <v/>
      </c>
      <c r="N69" t="str">
        <f t="array" aca="1" ref="N69" ca="1">IFERROR(INDEX(DaftarPembeli,SMALL(IF(OrderIDList=$M$2,ROW(DaftarPembeli)-ROW(PartsData!I$2)+1),ROWS(PartsData!I$2:'PartsData'!I69))),"")</f>
        <v/>
      </c>
      <c r="O69" t="str">
        <f ca="1">IF(N69="","",COUNTIF(ListCariPembeli,"&lt;="&amp;$N69))</f>
        <v/>
      </c>
      <c r="P69" t="str">
        <f ca="1">IF(O69="","",INDEX(ListCariPembeli,MATCH(ROWS($O$2:$O69),$O$2:$O$201,0)))</f>
        <v/>
      </c>
    </row>
    <row r="70" spans="10:16" x14ac:dyDescent="0.2">
      <c r="J70" t="str">
        <f t="array" aca="1" ref="J70" ca="1">IFERROR(INDEX(DaftarPembeli,SMALL(IF(OrderIDList=$I$2,ROW(DaftarPembeli)-ROW(PartsData!E$2)+1),ROWS(PartsData!E$2:'PartsData'!E70))),"")</f>
        <v/>
      </c>
      <c r="K70" t="str">
        <f ca="1">IF(J70="","",COUNTIF(ListPembeli,"&lt;="&amp;$J70))</f>
        <v/>
      </c>
      <c r="L70" t="str">
        <f ca="1">IF(K70="","",INDEX(ListPembeli,MATCH(ROWS($K$2:$K70),$K$2:$K$101,0)))</f>
        <v/>
      </c>
      <c r="N70" t="str">
        <f t="array" aca="1" ref="N70" ca="1">IFERROR(INDEX(DaftarPembeli,SMALL(IF(OrderIDList=$M$2,ROW(DaftarPembeli)-ROW(PartsData!I$2)+1),ROWS(PartsData!I$2:'PartsData'!I70))),"")</f>
        <v/>
      </c>
      <c r="O70" t="str">
        <f ca="1">IF(N70="","",COUNTIF(ListCariPembeli,"&lt;="&amp;$N70))</f>
        <v/>
      </c>
      <c r="P70" t="str">
        <f ca="1">IF(O70="","",INDEX(ListCariPembeli,MATCH(ROWS($O$2:$O70),$O$2:$O$201,0)))</f>
        <v/>
      </c>
    </row>
    <row r="71" spans="10:16" x14ac:dyDescent="0.2">
      <c r="J71" t="str">
        <f t="array" aca="1" ref="J71" ca="1">IFERROR(INDEX(DaftarPembeli,SMALL(IF(OrderIDList=$I$2,ROW(DaftarPembeli)-ROW(PartsData!E$2)+1),ROWS(PartsData!E$2:'PartsData'!E71))),"")</f>
        <v/>
      </c>
      <c r="K71" t="str">
        <f ca="1">IF(J71="","",COUNTIF(ListPembeli,"&lt;="&amp;$J71))</f>
        <v/>
      </c>
      <c r="L71" t="str">
        <f ca="1">IF(K71="","",INDEX(ListPembeli,MATCH(ROWS($K$2:$K71),$K$2:$K$101,0)))</f>
        <v/>
      </c>
      <c r="N71" t="str">
        <f t="array" aca="1" ref="N71" ca="1">IFERROR(INDEX(DaftarPembeli,SMALL(IF(OrderIDList=$M$2,ROW(DaftarPembeli)-ROW(PartsData!I$2)+1),ROWS(PartsData!I$2:'PartsData'!I71))),"")</f>
        <v/>
      </c>
      <c r="O71" t="str">
        <f ca="1">IF(N71="","",COUNTIF(ListCariPembeli,"&lt;="&amp;$N71))</f>
        <v/>
      </c>
      <c r="P71" t="str">
        <f ca="1">IF(O71="","",INDEX(ListCariPembeli,MATCH(ROWS($O$2:$O71),$O$2:$O$201,0)))</f>
        <v/>
      </c>
    </row>
    <row r="72" spans="10:16" x14ac:dyDescent="0.2">
      <c r="J72" t="str">
        <f t="array" aca="1" ref="J72" ca="1">IFERROR(INDEX(DaftarPembeli,SMALL(IF(OrderIDList=$I$2,ROW(DaftarPembeli)-ROW(PartsData!E$2)+1),ROWS(PartsData!E$2:'PartsData'!E72))),"")</f>
        <v/>
      </c>
      <c r="K72" t="str">
        <f ca="1">IF(J72="","",COUNTIF(ListPembeli,"&lt;="&amp;$J72))</f>
        <v/>
      </c>
      <c r="L72" t="str">
        <f ca="1">IF(K72="","",INDEX(ListPembeli,MATCH(ROWS($K$2:$K72),$K$2:$K$101,0)))</f>
        <v/>
      </c>
      <c r="N72" t="str">
        <f t="array" aca="1" ref="N72" ca="1">IFERROR(INDEX(DaftarPembeli,SMALL(IF(OrderIDList=$M$2,ROW(DaftarPembeli)-ROW(PartsData!I$2)+1),ROWS(PartsData!I$2:'PartsData'!I72))),"")</f>
        <v/>
      </c>
      <c r="O72" t="str">
        <f ca="1">IF(N72="","",COUNTIF(ListCariPembeli,"&lt;="&amp;$N72))</f>
        <v/>
      </c>
      <c r="P72" t="str">
        <f ca="1">IF(O72="","",INDEX(ListCariPembeli,MATCH(ROWS($O$2:$O72),$O$2:$O$201,0)))</f>
        <v/>
      </c>
    </row>
    <row r="73" spans="10:16" x14ac:dyDescent="0.2">
      <c r="J73" t="str">
        <f t="array" aca="1" ref="J73" ca="1">IFERROR(INDEX(DaftarPembeli,SMALL(IF(OrderIDList=$I$2,ROW(DaftarPembeli)-ROW(PartsData!E$2)+1),ROWS(PartsData!E$2:'PartsData'!E73))),"")</f>
        <v/>
      </c>
      <c r="K73" t="str">
        <f ca="1">IF(J73="","",COUNTIF(ListPembeli,"&lt;="&amp;$J73))</f>
        <v/>
      </c>
      <c r="L73" t="str">
        <f ca="1">IF(K73="","",INDEX(ListPembeli,MATCH(ROWS($K$2:$K73),$K$2:$K$101,0)))</f>
        <v/>
      </c>
      <c r="N73" t="str">
        <f t="array" aca="1" ref="N73" ca="1">IFERROR(INDEX(DaftarPembeli,SMALL(IF(OrderIDList=$M$2,ROW(DaftarPembeli)-ROW(PartsData!I$2)+1),ROWS(PartsData!I$2:'PartsData'!I73))),"")</f>
        <v/>
      </c>
      <c r="O73" t="str">
        <f ca="1">IF(N73="","",COUNTIF(ListCariPembeli,"&lt;="&amp;$N73))</f>
        <v/>
      </c>
      <c r="P73" t="str">
        <f ca="1">IF(O73="","",INDEX(ListCariPembeli,MATCH(ROWS($O$2:$O73),$O$2:$O$201,0)))</f>
        <v/>
      </c>
    </row>
    <row r="74" spans="10:16" x14ac:dyDescent="0.2">
      <c r="J74" t="str">
        <f t="array" aca="1" ref="J74" ca="1">IFERROR(INDEX(DaftarPembeli,SMALL(IF(OrderIDList=$I$2,ROW(DaftarPembeli)-ROW(PartsData!E$2)+1),ROWS(PartsData!E$2:'PartsData'!E74))),"")</f>
        <v/>
      </c>
      <c r="K74" t="str">
        <f ca="1">IF(J74="","",COUNTIF(ListPembeli,"&lt;="&amp;$J74))</f>
        <v/>
      </c>
      <c r="L74" t="str">
        <f ca="1">IF(K74="","",INDEX(ListPembeli,MATCH(ROWS($K$2:$K74),$K$2:$K$101,0)))</f>
        <v/>
      </c>
      <c r="N74" t="str">
        <f t="array" aca="1" ref="N74" ca="1">IFERROR(INDEX(DaftarPembeli,SMALL(IF(OrderIDList=$M$2,ROW(DaftarPembeli)-ROW(PartsData!I$2)+1),ROWS(PartsData!I$2:'PartsData'!I74))),"")</f>
        <v/>
      </c>
      <c r="O74" t="str">
        <f ca="1">IF(N74="","",COUNTIF(ListCariPembeli,"&lt;="&amp;$N74))</f>
        <v/>
      </c>
      <c r="P74" t="str">
        <f ca="1">IF(O74="","",INDEX(ListCariPembeli,MATCH(ROWS($O$2:$O74),$O$2:$O$201,0)))</f>
        <v/>
      </c>
    </row>
    <row r="75" spans="10:16" x14ac:dyDescent="0.2">
      <c r="J75" t="str">
        <f t="array" aca="1" ref="J75" ca="1">IFERROR(INDEX(DaftarPembeli,SMALL(IF(OrderIDList=$I$2,ROW(DaftarPembeli)-ROW(PartsData!E$2)+1),ROWS(PartsData!E$2:'PartsData'!E75))),"")</f>
        <v/>
      </c>
      <c r="K75" t="str">
        <f ca="1">IF(J75="","",COUNTIF(ListPembeli,"&lt;="&amp;$J75))</f>
        <v/>
      </c>
      <c r="L75" t="str">
        <f ca="1">IF(K75="","",INDEX(ListPembeli,MATCH(ROWS($K$2:$K75),$K$2:$K$101,0)))</f>
        <v/>
      </c>
      <c r="N75" t="str">
        <f t="array" aca="1" ref="N75" ca="1">IFERROR(INDEX(DaftarPembeli,SMALL(IF(OrderIDList=$M$2,ROW(DaftarPembeli)-ROW(PartsData!I$2)+1),ROWS(PartsData!I$2:'PartsData'!I75))),"")</f>
        <v/>
      </c>
      <c r="O75" t="str">
        <f ca="1">IF(N75="","",COUNTIF(ListCariPembeli,"&lt;="&amp;$N75))</f>
        <v/>
      </c>
      <c r="P75" t="str">
        <f ca="1">IF(O75="","",INDEX(ListCariPembeli,MATCH(ROWS($O$2:$O75),$O$2:$O$201,0)))</f>
        <v/>
      </c>
    </row>
    <row r="76" spans="10:16" x14ac:dyDescent="0.2">
      <c r="J76" t="str">
        <f t="array" aca="1" ref="J76" ca="1">IFERROR(INDEX(DaftarPembeli,SMALL(IF(OrderIDList=$I$2,ROW(DaftarPembeli)-ROW(PartsData!E$2)+1),ROWS(PartsData!E$2:'PartsData'!E76))),"")</f>
        <v/>
      </c>
      <c r="K76" t="str">
        <f ca="1">IF(J76="","",COUNTIF(ListPembeli,"&lt;="&amp;$J76))</f>
        <v/>
      </c>
      <c r="L76" t="str">
        <f ca="1">IF(K76="","",INDEX(ListPembeli,MATCH(ROWS($K$2:$K76),$K$2:$K$101,0)))</f>
        <v/>
      </c>
      <c r="N76" t="str">
        <f t="array" aca="1" ref="N76" ca="1">IFERROR(INDEX(DaftarPembeli,SMALL(IF(OrderIDList=$M$2,ROW(DaftarPembeli)-ROW(PartsData!I$2)+1),ROWS(PartsData!I$2:'PartsData'!I76))),"")</f>
        <v/>
      </c>
      <c r="O76" t="str">
        <f ca="1">IF(N76="","",COUNTIF(ListCariPembeli,"&lt;="&amp;$N76))</f>
        <v/>
      </c>
      <c r="P76" t="str">
        <f ca="1">IF(O76="","",INDEX(ListCariPembeli,MATCH(ROWS($O$2:$O76),$O$2:$O$201,0)))</f>
        <v/>
      </c>
    </row>
    <row r="77" spans="10:16" x14ac:dyDescent="0.2">
      <c r="J77" t="str">
        <f t="array" aca="1" ref="J77" ca="1">IFERROR(INDEX(DaftarPembeli,SMALL(IF(OrderIDList=$I$2,ROW(DaftarPembeli)-ROW(PartsData!E$2)+1),ROWS(PartsData!E$2:'PartsData'!E77))),"")</f>
        <v/>
      </c>
      <c r="K77" t="str">
        <f ca="1">IF(J77="","",COUNTIF(ListPembeli,"&lt;="&amp;$J77))</f>
        <v/>
      </c>
      <c r="L77" t="str">
        <f ca="1">IF(K77="","",INDEX(ListPembeli,MATCH(ROWS($K$2:$K77),$K$2:$K$101,0)))</f>
        <v/>
      </c>
      <c r="N77" t="str">
        <f t="array" aca="1" ref="N77" ca="1">IFERROR(INDEX(DaftarPembeli,SMALL(IF(OrderIDList=$M$2,ROW(DaftarPembeli)-ROW(PartsData!I$2)+1),ROWS(PartsData!I$2:'PartsData'!I77))),"")</f>
        <v/>
      </c>
      <c r="O77" t="str">
        <f ca="1">IF(N77="","",COUNTIF(ListCariPembeli,"&lt;="&amp;$N77))</f>
        <v/>
      </c>
      <c r="P77" t="str">
        <f ca="1">IF(O77="","",INDEX(ListCariPembeli,MATCH(ROWS($O$2:$O77),$O$2:$O$201,0)))</f>
        <v/>
      </c>
    </row>
    <row r="78" spans="10:16" x14ac:dyDescent="0.2">
      <c r="J78" t="str">
        <f t="array" aca="1" ref="J78" ca="1">IFERROR(INDEX(DaftarPembeli,SMALL(IF(OrderIDList=$I$2,ROW(DaftarPembeli)-ROW(PartsData!E$2)+1),ROWS(PartsData!E$2:'PartsData'!E78))),"")</f>
        <v/>
      </c>
      <c r="K78" t="str">
        <f ca="1">IF(J78="","",COUNTIF(ListPembeli,"&lt;="&amp;$J78))</f>
        <v/>
      </c>
      <c r="L78" t="str">
        <f ca="1">IF(K78="","",INDEX(ListPembeli,MATCH(ROWS($K$2:$K78),$K$2:$K$101,0)))</f>
        <v/>
      </c>
      <c r="N78" t="str">
        <f t="array" aca="1" ref="N78" ca="1">IFERROR(INDEX(DaftarPembeli,SMALL(IF(OrderIDList=$M$2,ROW(DaftarPembeli)-ROW(PartsData!I$2)+1),ROWS(PartsData!I$2:'PartsData'!I78))),"")</f>
        <v/>
      </c>
      <c r="O78" t="str">
        <f ca="1">IF(N78="","",COUNTIF(ListCariPembeli,"&lt;="&amp;$N78))</f>
        <v/>
      </c>
      <c r="P78" t="str">
        <f ca="1">IF(O78="","",INDEX(ListCariPembeli,MATCH(ROWS($O$2:$O78),$O$2:$O$201,0)))</f>
        <v/>
      </c>
    </row>
    <row r="79" spans="10:16" x14ac:dyDescent="0.2">
      <c r="J79" t="str">
        <f t="array" aca="1" ref="J79" ca="1">IFERROR(INDEX(DaftarPembeli,SMALL(IF(OrderIDList=$I$2,ROW(DaftarPembeli)-ROW(PartsData!E$2)+1),ROWS(PartsData!E$2:'PartsData'!E79))),"")</f>
        <v/>
      </c>
      <c r="K79" t="str">
        <f ca="1">IF(J79="","",COUNTIF(ListPembeli,"&lt;="&amp;$J79))</f>
        <v/>
      </c>
      <c r="L79" t="str">
        <f ca="1">IF(K79="","",INDEX(ListPembeli,MATCH(ROWS($K$2:$K79),$K$2:$K$101,0)))</f>
        <v/>
      </c>
      <c r="N79" t="str">
        <f t="array" aca="1" ref="N79" ca="1">IFERROR(INDEX(DaftarPembeli,SMALL(IF(OrderIDList=$M$2,ROW(DaftarPembeli)-ROW(PartsData!I$2)+1),ROWS(PartsData!I$2:'PartsData'!I79))),"")</f>
        <v/>
      </c>
      <c r="O79" t="str">
        <f ca="1">IF(N79="","",COUNTIF(ListCariPembeli,"&lt;="&amp;$N79))</f>
        <v/>
      </c>
      <c r="P79" t="str">
        <f ca="1">IF(O79="","",INDEX(ListCariPembeli,MATCH(ROWS($O$2:$O79),$O$2:$O$201,0)))</f>
        <v/>
      </c>
    </row>
    <row r="80" spans="10:16" x14ac:dyDescent="0.2">
      <c r="J80" t="str">
        <f t="array" aca="1" ref="J80" ca="1">IFERROR(INDEX(DaftarPembeli,SMALL(IF(OrderIDList=$I$2,ROW(DaftarPembeli)-ROW(PartsData!E$2)+1),ROWS(PartsData!E$2:'PartsData'!E80))),"")</f>
        <v/>
      </c>
      <c r="K80" t="str">
        <f ca="1">IF(J80="","",COUNTIF(ListPembeli,"&lt;="&amp;$J80))</f>
        <v/>
      </c>
      <c r="L80" t="str">
        <f ca="1">IF(K80="","",INDEX(ListPembeli,MATCH(ROWS($K$2:$K80),$K$2:$K$101,0)))</f>
        <v/>
      </c>
      <c r="N80" t="str">
        <f t="array" aca="1" ref="N80" ca="1">IFERROR(INDEX(DaftarPembeli,SMALL(IF(OrderIDList=$M$2,ROW(DaftarPembeli)-ROW(PartsData!I$2)+1),ROWS(PartsData!I$2:'PartsData'!I80))),"")</f>
        <v/>
      </c>
      <c r="O80" t="str">
        <f ca="1">IF(N80="","",COUNTIF(ListCariPembeli,"&lt;="&amp;$N80))</f>
        <v/>
      </c>
      <c r="P80" t="str">
        <f ca="1">IF(O80="","",INDEX(ListCariPembeli,MATCH(ROWS($O$2:$O80),$O$2:$O$201,0)))</f>
        <v/>
      </c>
    </row>
    <row r="81" spans="10:16" x14ac:dyDescent="0.2">
      <c r="J81" t="str">
        <f t="array" aca="1" ref="J81" ca="1">IFERROR(INDEX(DaftarPembeli,SMALL(IF(OrderIDList=$I$2,ROW(DaftarPembeli)-ROW(PartsData!E$2)+1),ROWS(PartsData!E$2:'PartsData'!E81))),"")</f>
        <v/>
      </c>
      <c r="K81" t="str">
        <f ca="1">IF(J81="","",COUNTIF(ListPembeli,"&lt;="&amp;$J81))</f>
        <v/>
      </c>
      <c r="L81" t="str">
        <f ca="1">IF(K81="","",INDEX(ListPembeli,MATCH(ROWS($K$2:$K81),$K$2:$K$101,0)))</f>
        <v/>
      </c>
      <c r="N81" t="str">
        <f t="array" aca="1" ref="N81" ca="1">IFERROR(INDEX(DaftarPembeli,SMALL(IF(OrderIDList=$M$2,ROW(DaftarPembeli)-ROW(PartsData!I$2)+1),ROWS(PartsData!I$2:'PartsData'!I81))),"")</f>
        <v/>
      </c>
      <c r="O81" t="str">
        <f ca="1">IF(N81="","",COUNTIF(ListCariPembeli,"&lt;="&amp;$N81))</f>
        <v/>
      </c>
      <c r="P81" t="str">
        <f ca="1">IF(O81="","",INDEX(ListCariPembeli,MATCH(ROWS($O$2:$O81),$O$2:$O$201,0)))</f>
        <v/>
      </c>
    </row>
    <row r="82" spans="10:16" x14ac:dyDescent="0.2">
      <c r="J82" t="str">
        <f t="array" aca="1" ref="J82" ca="1">IFERROR(INDEX(DaftarPembeli,SMALL(IF(OrderIDList=$I$2,ROW(DaftarPembeli)-ROW(PartsData!E$2)+1),ROWS(PartsData!E$2:'PartsData'!E82))),"")</f>
        <v/>
      </c>
      <c r="K82" t="str">
        <f ca="1">IF(J82="","",COUNTIF(ListPembeli,"&lt;="&amp;$J82))</f>
        <v/>
      </c>
      <c r="L82" t="str">
        <f ca="1">IF(K82="","",INDEX(ListPembeli,MATCH(ROWS($K$2:$K82),$K$2:$K$101,0)))</f>
        <v/>
      </c>
      <c r="N82" t="str">
        <f t="array" aca="1" ref="N82" ca="1">IFERROR(INDEX(DaftarPembeli,SMALL(IF(OrderIDList=$M$2,ROW(DaftarPembeli)-ROW(PartsData!I$2)+1),ROWS(PartsData!I$2:'PartsData'!I82))),"")</f>
        <v/>
      </c>
      <c r="O82" t="str">
        <f ca="1">IF(N82="","",COUNTIF(ListCariPembeli,"&lt;="&amp;$N82))</f>
        <v/>
      </c>
      <c r="P82" t="str">
        <f ca="1">IF(O82="","",INDEX(ListCariPembeli,MATCH(ROWS($O$2:$O82),$O$2:$O$201,0)))</f>
        <v/>
      </c>
    </row>
    <row r="83" spans="10:16" x14ac:dyDescent="0.2">
      <c r="J83" t="str">
        <f t="array" aca="1" ref="J83" ca="1">IFERROR(INDEX(DaftarPembeli,SMALL(IF(OrderIDList=$I$2,ROW(DaftarPembeli)-ROW(PartsData!E$2)+1),ROWS(PartsData!E$2:'PartsData'!E83))),"")</f>
        <v/>
      </c>
      <c r="K83" t="str">
        <f ca="1">IF(J83="","",COUNTIF(ListPembeli,"&lt;="&amp;$J83))</f>
        <v/>
      </c>
      <c r="L83" t="str">
        <f ca="1">IF(K83="","",INDEX(ListPembeli,MATCH(ROWS($K$2:$K83),$K$2:$K$101,0)))</f>
        <v/>
      </c>
      <c r="N83" t="str">
        <f t="array" aca="1" ref="N83" ca="1">IFERROR(INDEX(DaftarPembeli,SMALL(IF(OrderIDList=$M$2,ROW(DaftarPembeli)-ROW(PartsData!I$2)+1),ROWS(PartsData!I$2:'PartsData'!I83))),"")</f>
        <v/>
      </c>
      <c r="O83" t="str">
        <f ca="1">IF(N83="","",COUNTIF(ListCariPembeli,"&lt;="&amp;$N83))</f>
        <v/>
      </c>
      <c r="P83" t="str">
        <f ca="1">IF(O83="","",INDEX(ListCariPembeli,MATCH(ROWS($O$2:$O83),$O$2:$O$201,0)))</f>
        <v/>
      </c>
    </row>
    <row r="84" spans="10:16" x14ac:dyDescent="0.2">
      <c r="J84" t="str">
        <f t="array" aca="1" ref="J84" ca="1">IFERROR(INDEX(DaftarPembeli,SMALL(IF(OrderIDList=$I$2,ROW(DaftarPembeli)-ROW(PartsData!E$2)+1),ROWS(PartsData!E$2:'PartsData'!E84))),"")</f>
        <v/>
      </c>
      <c r="K84" t="str">
        <f ca="1">IF(J84="","",COUNTIF(ListPembeli,"&lt;="&amp;$J84))</f>
        <v/>
      </c>
      <c r="L84" t="str">
        <f ca="1">IF(K84="","",INDEX(ListPembeli,MATCH(ROWS($K$2:$K84),$K$2:$K$101,0)))</f>
        <v/>
      </c>
      <c r="N84" t="str">
        <f t="array" aca="1" ref="N84" ca="1">IFERROR(INDEX(DaftarPembeli,SMALL(IF(OrderIDList=$M$2,ROW(DaftarPembeli)-ROW(PartsData!I$2)+1),ROWS(PartsData!I$2:'PartsData'!I84))),"")</f>
        <v/>
      </c>
      <c r="O84" t="str">
        <f ca="1">IF(N84="","",COUNTIF(ListCariPembeli,"&lt;="&amp;$N84))</f>
        <v/>
      </c>
      <c r="P84" t="str">
        <f ca="1">IF(O84="","",INDEX(ListCariPembeli,MATCH(ROWS($O$2:$O84),$O$2:$O$201,0)))</f>
        <v/>
      </c>
    </row>
    <row r="85" spans="10:16" x14ac:dyDescent="0.2">
      <c r="J85" t="str">
        <f t="array" aca="1" ref="J85" ca="1">IFERROR(INDEX(DaftarPembeli,SMALL(IF(OrderIDList=$I$2,ROW(DaftarPembeli)-ROW(PartsData!E$2)+1),ROWS(PartsData!E$2:'PartsData'!E85))),"")</f>
        <v/>
      </c>
      <c r="K85" t="str">
        <f ca="1">IF(J85="","",COUNTIF(ListPembeli,"&lt;="&amp;$J85))</f>
        <v/>
      </c>
      <c r="L85" t="str">
        <f ca="1">IF(K85="","",INDEX(ListPembeli,MATCH(ROWS($K$2:$K85),$K$2:$K$101,0)))</f>
        <v/>
      </c>
      <c r="N85" t="str">
        <f t="array" aca="1" ref="N85" ca="1">IFERROR(INDEX(DaftarPembeli,SMALL(IF(OrderIDList=$M$2,ROW(DaftarPembeli)-ROW(PartsData!I$2)+1),ROWS(PartsData!I$2:'PartsData'!I85))),"")</f>
        <v/>
      </c>
      <c r="O85" t="str">
        <f ca="1">IF(N85="","",COUNTIF(ListCariPembeli,"&lt;="&amp;$N85))</f>
        <v/>
      </c>
      <c r="P85" t="str">
        <f ca="1">IF(O85="","",INDEX(ListCariPembeli,MATCH(ROWS($O$2:$O85),$O$2:$O$201,0)))</f>
        <v/>
      </c>
    </row>
    <row r="86" spans="10:16" x14ac:dyDescent="0.2">
      <c r="J86" t="str">
        <f t="array" aca="1" ref="J86" ca="1">IFERROR(INDEX(DaftarPembeli,SMALL(IF(OrderIDList=$I$2,ROW(DaftarPembeli)-ROW(PartsData!E$2)+1),ROWS(PartsData!E$2:'PartsData'!E86))),"")</f>
        <v/>
      </c>
      <c r="K86" t="str">
        <f ca="1">IF(J86="","",COUNTIF(ListPembeli,"&lt;="&amp;$J86))</f>
        <v/>
      </c>
      <c r="L86" t="str">
        <f ca="1">IF(K86="","",INDEX(ListPembeli,MATCH(ROWS($K$2:$K86),$K$2:$K$101,0)))</f>
        <v/>
      </c>
      <c r="N86" t="str">
        <f t="array" aca="1" ref="N86" ca="1">IFERROR(INDEX(DaftarPembeli,SMALL(IF(OrderIDList=$M$2,ROW(DaftarPembeli)-ROW(PartsData!I$2)+1),ROWS(PartsData!I$2:'PartsData'!I86))),"")</f>
        <v/>
      </c>
      <c r="O86" t="str">
        <f ca="1">IF(N86="","",COUNTIF(ListCariPembeli,"&lt;="&amp;$N86))</f>
        <v/>
      </c>
      <c r="P86" t="str">
        <f ca="1">IF(O86="","",INDEX(ListCariPembeli,MATCH(ROWS($O$2:$O86),$O$2:$O$201,0)))</f>
        <v/>
      </c>
    </row>
    <row r="87" spans="10:16" x14ac:dyDescent="0.2">
      <c r="J87" t="str">
        <f t="array" aca="1" ref="J87" ca="1">IFERROR(INDEX(DaftarPembeli,SMALL(IF(OrderIDList=$I$2,ROW(DaftarPembeli)-ROW(PartsData!E$2)+1),ROWS(PartsData!E$2:'PartsData'!E87))),"")</f>
        <v/>
      </c>
      <c r="K87" t="str">
        <f ca="1">IF(J87="","",COUNTIF(ListPembeli,"&lt;="&amp;$J87))</f>
        <v/>
      </c>
      <c r="L87" t="str">
        <f ca="1">IF(K87="","",INDEX(ListPembeli,MATCH(ROWS($K$2:$K87),$K$2:$K$101,0)))</f>
        <v/>
      </c>
      <c r="N87" t="str">
        <f t="array" aca="1" ref="N87" ca="1">IFERROR(INDEX(DaftarPembeli,SMALL(IF(OrderIDList=$M$2,ROW(DaftarPembeli)-ROW(PartsData!I$2)+1),ROWS(PartsData!I$2:'PartsData'!I87))),"")</f>
        <v/>
      </c>
      <c r="O87" t="str">
        <f ca="1">IF(N87="","",COUNTIF(ListCariPembeli,"&lt;="&amp;$N87))</f>
        <v/>
      </c>
      <c r="P87" t="str">
        <f ca="1">IF(O87="","",INDEX(ListCariPembeli,MATCH(ROWS($O$2:$O87),$O$2:$O$201,0)))</f>
        <v/>
      </c>
    </row>
    <row r="88" spans="10:16" x14ac:dyDescent="0.2">
      <c r="J88" t="str">
        <f t="array" aca="1" ref="J88" ca="1">IFERROR(INDEX(DaftarPembeli,SMALL(IF(OrderIDList=$I$2,ROW(DaftarPembeli)-ROW(PartsData!E$2)+1),ROWS(PartsData!E$2:'PartsData'!E88))),"")</f>
        <v/>
      </c>
      <c r="K88" t="str">
        <f ca="1">IF(J88="","",COUNTIF(ListPembeli,"&lt;="&amp;$J88))</f>
        <v/>
      </c>
      <c r="L88" t="str">
        <f ca="1">IF(K88="","",INDEX(ListPembeli,MATCH(ROWS($K$2:$K88),$K$2:$K$101,0)))</f>
        <v/>
      </c>
      <c r="N88" t="str">
        <f t="array" aca="1" ref="N88" ca="1">IFERROR(INDEX(DaftarPembeli,SMALL(IF(OrderIDList=$M$2,ROW(DaftarPembeli)-ROW(PartsData!I$2)+1),ROWS(PartsData!I$2:'PartsData'!I88))),"")</f>
        <v/>
      </c>
      <c r="O88" t="str">
        <f ca="1">IF(N88="","",COUNTIF(ListCariPembeli,"&lt;="&amp;$N88))</f>
        <v/>
      </c>
      <c r="P88" t="str">
        <f ca="1">IF(O88="","",INDEX(ListCariPembeli,MATCH(ROWS($O$2:$O88),$O$2:$O$201,0)))</f>
        <v/>
      </c>
    </row>
    <row r="89" spans="10:16" x14ac:dyDescent="0.2">
      <c r="J89" t="str">
        <f t="array" aca="1" ref="J89" ca="1">IFERROR(INDEX(DaftarPembeli,SMALL(IF(OrderIDList=$I$2,ROW(DaftarPembeli)-ROW(PartsData!E$2)+1),ROWS(PartsData!E$2:'PartsData'!E89))),"")</f>
        <v/>
      </c>
      <c r="K89" t="str">
        <f ca="1">IF(J89="","",COUNTIF(ListPembeli,"&lt;="&amp;$J89))</f>
        <v/>
      </c>
      <c r="L89" t="str">
        <f ca="1">IF(K89="","",INDEX(ListPembeli,MATCH(ROWS($K$2:$K89),$K$2:$K$101,0)))</f>
        <v/>
      </c>
      <c r="N89" t="str">
        <f t="array" aca="1" ref="N89" ca="1">IFERROR(INDEX(DaftarPembeli,SMALL(IF(OrderIDList=$M$2,ROW(DaftarPembeli)-ROW(PartsData!I$2)+1),ROWS(PartsData!I$2:'PartsData'!I89))),"")</f>
        <v/>
      </c>
      <c r="O89" t="str">
        <f ca="1">IF(N89="","",COUNTIF(ListCariPembeli,"&lt;="&amp;$N89))</f>
        <v/>
      </c>
      <c r="P89" t="str">
        <f ca="1">IF(O89="","",INDEX(ListCariPembeli,MATCH(ROWS($O$2:$O89),$O$2:$O$201,0)))</f>
        <v/>
      </c>
    </row>
    <row r="90" spans="10:16" x14ac:dyDescent="0.2">
      <c r="J90" t="str">
        <f t="array" aca="1" ref="J90" ca="1">IFERROR(INDEX(DaftarPembeli,SMALL(IF(OrderIDList=$I$2,ROW(DaftarPembeli)-ROW(PartsData!E$2)+1),ROWS(PartsData!E$2:'PartsData'!E90))),"")</f>
        <v/>
      </c>
      <c r="K90" t="str">
        <f ca="1">IF(J90="","",COUNTIF(ListPembeli,"&lt;="&amp;$J90))</f>
        <v/>
      </c>
      <c r="L90" t="str">
        <f ca="1">IF(K90="","",INDEX(ListPembeli,MATCH(ROWS($K$2:$K90),$K$2:$K$101,0)))</f>
        <v/>
      </c>
      <c r="N90" t="str">
        <f t="array" aca="1" ref="N90" ca="1">IFERROR(INDEX(DaftarPembeli,SMALL(IF(OrderIDList=$M$2,ROW(DaftarPembeli)-ROW(PartsData!I$2)+1),ROWS(PartsData!I$2:'PartsData'!I90))),"")</f>
        <v/>
      </c>
      <c r="O90" t="str">
        <f ca="1">IF(N90="","",COUNTIF(ListCariPembeli,"&lt;="&amp;$N90))</f>
        <v/>
      </c>
      <c r="P90" t="str">
        <f ca="1">IF(O90="","",INDEX(ListCariPembeli,MATCH(ROWS($O$2:$O90),$O$2:$O$201,0)))</f>
        <v/>
      </c>
    </row>
    <row r="91" spans="10:16" x14ac:dyDescent="0.2">
      <c r="J91" t="str">
        <f t="array" aca="1" ref="J91" ca="1">IFERROR(INDEX(DaftarPembeli,SMALL(IF(OrderIDList=$I$2,ROW(DaftarPembeli)-ROW(PartsData!E$2)+1),ROWS(PartsData!E$2:'PartsData'!E91))),"")</f>
        <v/>
      </c>
      <c r="K91" t="str">
        <f ca="1">IF(J91="","",COUNTIF(ListPembeli,"&lt;="&amp;$J91))</f>
        <v/>
      </c>
      <c r="L91" t="str">
        <f ca="1">IF(K91="","",INDEX(ListPembeli,MATCH(ROWS($K$2:$K91),$K$2:$K$101,0)))</f>
        <v/>
      </c>
      <c r="N91" t="str">
        <f t="array" aca="1" ref="N91" ca="1">IFERROR(INDEX(DaftarPembeli,SMALL(IF(OrderIDList=$M$2,ROW(DaftarPembeli)-ROW(PartsData!I$2)+1),ROWS(PartsData!I$2:'PartsData'!I91))),"")</f>
        <v/>
      </c>
      <c r="O91" t="str">
        <f ca="1">IF(N91="","",COUNTIF(ListCariPembeli,"&lt;="&amp;$N91))</f>
        <v/>
      </c>
      <c r="P91" t="str">
        <f ca="1">IF(O91="","",INDEX(ListCariPembeli,MATCH(ROWS($O$2:$O91),$O$2:$O$201,0)))</f>
        <v/>
      </c>
    </row>
    <row r="92" spans="10:16" x14ac:dyDescent="0.2">
      <c r="J92" t="str">
        <f t="array" aca="1" ref="J92" ca="1">IFERROR(INDEX(DaftarPembeli,SMALL(IF(OrderIDList=$I$2,ROW(DaftarPembeli)-ROW(PartsData!E$2)+1),ROWS(PartsData!E$2:'PartsData'!E92))),"")</f>
        <v/>
      </c>
      <c r="K92" t="str">
        <f ca="1">IF(J92="","",COUNTIF(ListPembeli,"&lt;="&amp;$J92))</f>
        <v/>
      </c>
      <c r="L92" t="str">
        <f ca="1">IF(K92="","",INDEX(ListPembeli,MATCH(ROWS($K$2:$K92),$K$2:$K$101,0)))</f>
        <v/>
      </c>
      <c r="N92" t="str">
        <f t="array" aca="1" ref="N92" ca="1">IFERROR(INDEX(DaftarPembeli,SMALL(IF(OrderIDList=$M$2,ROW(DaftarPembeli)-ROW(PartsData!I$2)+1),ROWS(PartsData!I$2:'PartsData'!I92))),"")</f>
        <v/>
      </c>
      <c r="O92" t="str">
        <f ca="1">IF(N92="","",COUNTIF(ListCariPembeli,"&lt;="&amp;$N92))</f>
        <v/>
      </c>
      <c r="P92" t="str">
        <f ca="1">IF(O92="","",INDEX(ListCariPembeli,MATCH(ROWS($O$2:$O92),$O$2:$O$201,0)))</f>
        <v/>
      </c>
    </row>
    <row r="93" spans="10:16" x14ac:dyDescent="0.2">
      <c r="J93" t="str">
        <f t="array" aca="1" ref="J93" ca="1">IFERROR(INDEX(DaftarPembeli,SMALL(IF(OrderIDList=$I$2,ROW(DaftarPembeli)-ROW(PartsData!E$2)+1),ROWS(PartsData!E$2:'PartsData'!E93))),"")</f>
        <v/>
      </c>
      <c r="K93" t="str">
        <f ca="1">IF(J93="","",COUNTIF(ListPembeli,"&lt;="&amp;$J93))</f>
        <v/>
      </c>
      <c r="L93" t="str">
        <f ca="1">IF(K93="","",INDEX(ListPembeli,MATCH(ROWS($K$2:$K93),$K$2:$K$101,0)))</f>
        <v/>
      </c>
      <c r="N93" t="str">
        <f t="array" aca="1" ref="N93" ca="1">IFERROR(INDEX(DaftarPembeli,SMALL(IF(OrderIDList=$M$2,ROW(DaftarPembeli)-ROW(PartsData!I$2)+1),ROWS(PartsData!I$2:'PartsData'!I93))),"")</f>
        <v/>
      </c>
      <c r="O93" t="str">
        <f ca="1">IF(N93="","",COUNTIF(ListCariPembeli,"&lt;="&amp;$N93))</f>
        <v/>
      </c>
      <c r="P93" t="str">
        <f ca="1">IF(O93="","",INDEX(ListCariPembeli,MATCH(ROWS($O$2:$O93),$O$2:$O$201,0)))</f>
        <v/>
      </c>
    </row>
    <row r="94" spans="10:16" x14ac:dyDescent="0.2">
      <c r="J94" t="str">
        <f t="array" aca="1" ref="J94" ca="1">IFERROR(INDEX(DaftarPembeli,SMALL(IF(OrderIDList=$I$2,ROW(DaftarPembeli)-ROW(PartsData!E$2)+1),ROWS(PartsData!E$2:'PartsData'!E94))),"")</f>
        <v/>
      </c>
      <c r="K94" t="str">
        <f ca="1">IF(J94="","",COUNTIF(ListPembeli,"&lt;="&amp;$J94))</f>
        <v/>
      </c>
      <c r="L94" t="str">
        <f ca="1">IF(K94="","",INDEX(ListPembeli,MATCH(ROWS($K$2:$K94),$K$2:$K$101,0)))</f>
        <v/>
      </c>
      <c r="N94" t="str">
        <f t="array" aca="1" ref="N94" ca="1">IFERROR(INDEX(DaftarPembeli,SMALL(IF(OrderIDList=$M$2,ROW(DaftarPembeli)-ROW(PartsData!I$2)+1),ROWS(PartsData!I$2:'PartsData'!I94))),"")</f>
        <v/>
      </c>
      <c r="O94" t="str">
        <f ca="1">IF(N94="","",COUNTIF(ListCariPembeli,"&lt;="&amp;$N94))</f>
        <v/>
      </c>
      <c r="P94" t="str">
        <f ca="1">IF(O94="","",INDEX(ListCariPembeli,MATCH(ROWS($O$2:$O94),$O$2:$O$201,0)))</f>
        <v/>
      </c>
    </row>
    <row r="95" spans="10:16" x14ac:dyDescent="0.2">
      <c r="J95" t="str">
        <f t="array" aca="1" ref="J95" ca="1">IFERROR(INDEX(DaftarPembeli,SMALL(IF(OrderIDList=$I$2,ROW(DaftarPembeli)-ROW(PartsData!E$2)+1),ROWS(PartsData!E$2:'PartsData'!E95))),"")</f>
        <v/>
      </c>
      <c r="K95" t="str">
        <f ca="1">IF(J95="","",COUNTIF(ListPembeli,"&lt;="&amp;$J95))</f>
        <v/>
      </c>
      <c r="L95" t="str">
        <f ca="1">IF(K95="","",INDEX(ListPembeli,MATCH(ROWS($K$2:$K95),$K$2:$K$101,0)))</f>
        <v/>
      </c>
      <c r="N95" t="str">
        <f t="array" aca="1" ref="N95" ca="1">IFERROR(INDEX(DaftarPembeli,SMALL(IF(OrderIDList=$M$2,ROW(DaftarPembeli)-ROW(PartsData!I$2)+1),ROWS(PartsData!I$2:'PartsData'!I95))),"")</f>
        <v/>
      </c>
      <c r="O95" t="str">
        <f ca="1">IF(N95="","",COUNTIF(ListCariPembeli,"&lt;="&amp;$N95))</f>
        <v/>
      </c>
      <c r="P95" t="str">
        <f ca="1">IF(O95="","",INDEX(ListCariPembeli,MATCH(ROWS($O$2:$O95),$O$2:$O$201,0)))</f>
        <v/>
      </c>
    </row>
    <row r="96" spans="10:16" x14ac:dyDescent="0.2">
      <c r="J96" t="str">
        <f t="array" aca="1" ref="J96" ca="1">IFERROR(INDEX(DaftarPembeli,SMALL(IF(OrderIDList=$I$2,ROW(DaftarPembeli)-ROW(PartsData!E$2)+1),ROWS(PartsData!E$2:'PartsData'!E96))),"")</f>
        <v/>
      </c>
      <c r="K96" t="str">
        <f ca="1">IF(J96="","",COUNTIF(ListPembeli,"&lt;="&amp;$J96))</f>
        <v/>
      </c>
      <c r="L96" t="str">
        <f ca="1">IF(K96="","",INDEX(ListPembeli,MATCH(ROWS($K$2:$K96),$K$2:$K$101,0)))</f>
        <v/>
      </c>
      <c r="N96" t="str">
        <f t="array" aca="1" ref="N96" ca="1">IFERROR(INDEX(DaftarPembeli,SMALL(IF(OrderIDList=$M$2,ROW(DaftarPembeli)-ROW(PartsData!I$2)+1),ROWS(PartsData!I$2:'PartsData'!I96))),"")</f>
        <v/>
      </c>
      <c r="O96" t="str">
        <f ca="1">IF(N96="","",COUNTIF(ListCariPembeli,"&lt;="&amp;$N96))</f>
        <v/>
      </c>
      <c r="P96" t="str">
        <f ca="1">IF(O96="","",INDEX(ListCariPembeli,MATCH(ROWS($O$2:$O96),$O$2:$O$201,0)))</f>
        <v/>
      </c>
    </row>
    <row r="97" spans="10:16" x14ac:dyDescent="0.2">
      <c r="J97" t="str">
        <f t="array" aca="1" ref="J97" ca="1">IFERROR(INDEX(DaftarPembeli,SMALL(IF(OrderIDList=$I$2,ROW(DaftarPembeli)-ROW(PartsData!E$2)+1),ROWS(PartsData!E$2:'PartsData'!E97))),"")</f>
        <v/>
      </c>
      <c r="K97" t="str">
        <f ca="1">IF(J97="","",COUNTIF(ListPembeli,"&lt;="&amp;$J97))</f>
        <v/>
      </c>
      <c r="L97" t="str">
        <f ca="1">IF(K97="","",INDEX(ListPembeli,MATCH(ROWS($K$2:$K97),$K$2:$K$101,0)))</f>
        <v/>
      </c>
      <c r="N97" t="str">
        <f t="array" aca="1" ref="N97" ca="1">IFERROR(INDEX(DaftarPembeli,SMALL(IF(OrderIDList=$M$2,ROW(DaftarPembeli)-ROW(PartsData!I$2)+1),ROWS(PartsData!I$2:'PartsData'!I97))),"")</f>
        <v/>
      </c>
      <c r="O97" t="str">
        <f ca="1">IF(N97="","",COUNTIF(ListCariPembeli,"&lt;="&amp;$N97))</f>
        <v/>
      </c>
      <c r="P97" t="str">
        <f ca="1">IF(O97="","",INDEX(ListCariPembeli,MATCH(ROWS($O$2:$O97),$O$2:$O$201,0)))</f>
        <v/>
      </c>
    </row>
    <row r="98" spans="10:16" x14ac:dyDescent="0.2">
      <c r="J98" t="str">
        <f t="array" aca="1" ref="J98" ca="1">IFERROR(INDEX(DaftarPembeli,SMALL(IF(OrderIDList=$I$2,ROW(DaftarPembeli)-ROW(PartsData!E$2)+1),ROWS(PartsData!E$2:'PartsData'!E98))),"")</f>
        <v/>
      </c>
      <c r="K98" t="str">
        <f ca="1">IF(J98="","",COUNTIF(ListPembeli,"&lt;="&amp;$J98))</f>
        <v/>
      </c>
      <c r="L98" t="str">
        <f ca="1">IF(K98="","",INDEX(ListPembeli,MATCH(ROWS($K$2:$K98),$K$2:$K$101,0)))</f>
        <v/>
      </c>
      <c r="N98" t="str">
        <f t="array" aca="1" ref="N98" ca="1">IFERROR(INDEX(DaftarPembeli,SMALL(IF(OrderIDList=$M$2,ROW(DaftarPembeli)-ROW(PartsData!I$2)+1),ROWS(PartsData!I$2:'PartsData'!I98))),"")</f>
        <v/>
      </c>
      <c r="O98" t="str">
        <f ca="1">IF(N98="","",COUNTIF(ListCariPembeli,"&lt;="&amp;$N98))</f>
        <v/>
      </c>
      <c r="P98" t="str">
        <f ca="1">IF(O98="","",INDEX(ListCariPembeli,MATCH(ROWS($O$2:$O98),$O$2:$O$201,0)))</f>
        <v/>
      </c>
    </row>
    <row r="99" spans="10:16" x14ac:dyDescent="0.2">
      <c r="J99" t="str">
        <f t="array" aca="1" ref="J99" ca="1">IFERROR(INDEX(DaftarPembeli,SMALL(IF(OrderIDList=$I$2,ROW(DaftarPembeli)-ROW(PartsData!E$2)+1),ROWS(PartsData!E$2:'PartsData'!E99))),"")</f>
        <v/>
      </c>
      <c r="K99" t="str">
        <f ca="1">IF(J99="","",COUNTIF(ListPembeli,"&lt;="&amp;$J99))</f>
        <v/>
      </c>
      <c r="L99" t="str">
        <f ca="1">IF(K99="","",INDEX(ListPembeli,MATCH(ROWS($K$2:$K99),$K$2:$K$101,0)))</f>
        <v/>
      </c>
      <c r="N99" t="str">
        <f t="array" aca="1" ref="N99" ca="1">IFERROR(INDEX(DaftarPembeli,SMALL(IF(OrderIDList=$M$2,ROW(DaftarPembeli)-ROW(PartsData!I$2)+1),ROWS(PartsData!I$2:'PartsData'!I99))),"")</f>
        <v/>
      </c>
      <c r="O99" t="str">
        <f ca="1">IF(N99="","",COUNTIF(ListCariPembeli,"&lt;="&amp;$N99))</f>
        <v/>
      </c>
      <c r="P99" t="str">
        <f ca="1">IF(O99="","",INDEX(ListCariPembeli,MATCH(ROWS($O$2:$O99),$O$2:$O$201,0)))</f>
        <v/>
      </c>
    </row>
    <row r="100" spans="10:16" x14ac:dyDescent="0.2">
      <c r="J100" t="str">
        <f t="array" aca="1" ref="J100" ca="1">IFERROR(INDEX(DaftarPembeli,SMALL(IF(OrderIDList=$I$2,ROW(DaftarPembeli)-ROW(PartsData!E$2)+1),ROWS(PartsData!E$2:'PartsData'!E100))),"")</f>
        <v/>
      </c>
      <c r="K100" t="str">
        <f ca="1">IF(J100="","",COUNTIF(ListPembeli,"&lt;="&amp;$J100))</f>
        <v/>
      </c>
      <c r="L100" t="str">
        <f ca="1">IF(K100="","",INDEX(ListPembeli,MATCH(ROWS($K$2:$K100),$K$2:$K$101,0)))</f>
        <v/>
      </c>
      <c r="N100" t="str">
        <f t="array" aca="1" ref="N100" ca="1">IFERROR(INDEX(DaftarPembeli,SMALL(IF(OrderIDList=$M$2,ROW(DaftarPembeli)-ROW(PartsData!I$2)+1),ROWS(PartsData!I$2:'PartsData'!I100))),"")</f>
        <v/>
      </c>
      <c r="O100" t="str">
        <f ca="1">IF(N100="","",COUNTIF(ListCariPembeli,"&lt;="&amp;$N100))</f>
        <v/>
      </c>
      <c r="P100" t="str">
        <f ca="1">IF(O100="","",INDEX(ListCariPembeli,MATCH(ROWS($O$2:$O100),$O$2:$O$201,0)))</f>
        <v/>
      </c>
    </row>
    <row r="101" spans="10:16" x14ac:dyDescent="0.2">
      <c r="J101" t="str">
        <f t="array" aca="1" ref="J101" ca="1">IFERROR(INDEX(DaftarPembeli,SMALL(IF(OrderIDList=$I$2,ROW(DaftarPembeli)-ROW(PartsData!E$2)+1),ROWS(PartsData!E$2:'PartsData'!E101))),"")</f>
        <v/>
      </c>
      <c r="K101" t="str">
        <f ca="1">IF(J101="","",COUNTIF(ListPembeli,"&lt;="&amp;$J101))</f>
        <v/>
      </c>
      <c r="L101" t="str">
        <f ca="1">IF(K101="","",INDEX(ListPembeli,MATCH(ROWS($K$2:$K101),$K$2:$K$101,0)))</f>
        <v/>
      </c>
      <c r="N101" t="str">
        <f t="array" aca="1" ref="N101" ca="1">IFERROR(INDEX(DaftarPembeli,SMALL(IF(OrderIDList=$M$2,ROW(DaftarPembeli)-ROW(PartsData!I$2)+1),ROWS(PartsData!I$2:'PartsData'!I101))),"")</f>
        <v/>
      </c>
      <c r="O101" t="str">
        <f ca="1">IF(N101="","",COUNTIF(ListCariPembeli,"&lt;="&amp;$N101))</f>
        <v/>
      </c>
      <c r="P101" t="str">
        <f ca="1">IF(O101="","",INDEX(ListCariPembeli,MATCH(ROWS($O$2:$O101),$O$2:$O$201,0)))</f>
        <v/>
      </c>
    </row>
    <row r="102" spans="10:16" x14ac:dyDescent="0.2">
      <c r="J102" t="str">
        <f t="array" aca="1" ref="J102" ca="1">IFERROR(INDEX(DaftarPembeli,SMALL(IF(OrderIDList=$I$2,ROW(DaftarPembeli)-ROW(PartsData!E$2)+1),ROWS(PartsData!E$2:'PartsData'!E102))),"")</f>
        <v/>
      </c>
      <c r="K102" t="str">
        <f ca="1">IF(J102="","",COUNTIF(ListPembeli,"&lt;="&amp;$J102))</f>
        <v/>
      </c>
      <c r="L102" t="str">
        <f ca="1">IF(K102="","",INDEX(ListPembeli,MATCH(ROWS($K$2:$K102),$K$2:$K$101,0)))</f>
        <v/>
      </c>
      <c r="N102" t="str">
        <f t="array" aca="1" ref="N102" ca="1">IFERROR(INDEX(DaftarPembeli,SMALL(IF(OrderIDList=$M$2,ROW(DaftarPembeli)-ROW(PartsData!I$2)+1),ROWS(PartsData!I$2:'PartsData'!I102))),"")</f>
        <v/>
      </c>
      <c r="O102" t="str">
        <f ca="1">IF(N102="","",COUNTIF(ListCariPembeli,"&lt;="&amp;$N102))</f>
        <v/>
      </c>
      <c r="P102" t="str">
        <f ca="1">IF(O102="","",INDEX(ListCariPembeli,MATCH(ROWS($O$2:$O102),$O$2:$O$201,0)))</f>
        <v/>
      </c>
    </row>
    <row r="103" spans="10:16" x14ac:dyDescent="0.2">
      <c r="J103" t="str">
        <f t="array" aca="1" ref="J103" ca="1">IFERROR(INDEX(DaftarPembeli,SMALL(IF(OrderIDList=$I$2,ROW(DaftarPembeli)-ROW(PartsData!E$2)+1),ROWS(PartsData!E$2:'PartsData'!E103))),"")</f>
        <v/>
      </c>
      <c r="K103" t="str">
        <f ca="1">IF(J103="","",COUNTIF(ListPembeli,"&lt;="&amp;$J103))</f>
        <v/>
      </c>
      <c r="L103" t="str">
        <f ca="1">IF(K103="","",INDEX(ListPembeli,MATCH(ROWS($K$2:$K103),$K$2:$K$101,0)))</f>
        <v/>
      </c>
      <c r="N103" t="str">
        <f t="array" aca="1" ref="N103" ca="1">IFERROR(INDEX(DaftarPembeli,SMALL(IF(OrderIDList=$M$2,ROW(DaftarPembeli)-ROW(PartsData!I$2)+1),ROWS(PartsData!I$2:'PartsData'!I103))),"")</f>
        <v/>
      </c>
      <c r="O103" t="str">
        <f ca="1">IF(N103="","",COUNTIF(ListCariPembeli,"&lt;="&amp;$N103))</f>
        <v/>
      </c>
      <c r="P103" t="str">
        <f ca="1">IF(O103="","",INDEX(ListCariPembeli,MATCH(ROWS($O$2:$O103),$O$2:$O$201,0)))</f>
        <v/>
      </c>
    </row>
    <row r="104" spans="10:16" x14ac:dyDescent="0.2">
      <c r="J104" t="str">
        <f t="array" aca="1" ref="J104" ca="1">IFERROR(INDEX(DaftarPembeli,SMALL(IF(OrderIDList=$I$2,ROW(DaftarPembeli)-ROW(PartsData!E$2)+1),ROWS(PartsData!E$2:'PartsData'!E104))),"")</f>
        <v/>
      </c>
      <c r="K104" t="str">
        <f ca="1">IF(J104="","",COUNTIF(ListPembeli,"&lt;="&amp;$J104))</f>
        <v/>
      </c>
      <c r="L104" t="str">
        <f ca="1">IF(K104="","",INDEX(ListPembeli,MATCH(ROWS($K$2:$K104),$K$2:$K$101,0)))</f>
        <v/>
      </c>
      <c r="N104" t="str">
        <f t="array" aca="1" ref="N104" ca="1">IFERROR(INDEX(DaftarPembeli,SMALL(IF(OrderIDList=$M$2,ROW(DaftarPembeli)-ROW(PartsData!I$2)+1),ROWS(PartsData!I$2:'PartsData'!I104))),"")</f>
        <v/>
      </c>
      <c r="O104" t="str">
        <f ca="1">IF(N104="","",COUNTIF(ListCariPembeli,"&lt;="&amp;$N104))</f>
        <v/>
      </c>
      <c r="P104" t="str">
        <f ca="1">IF(O104="","",INDEX(ListCariPembeli,MATCH(ROWS($O$2:$O104),$O$2:$O$201,0)))</f>
        <v/>
      </c>
    </row>
    <row r="105" spans="10:16" x14ac:dyDescent="0.2">
      <c r="J105" t="str">
        <f t="array" aca="1" ref="J105" ca="1">IFERROR(INDEX(DaftarPembeli,SMALL(IF(OrderIDList=$I$2,ROW(DaftarPembeli)-ROW(PartsData!E$2)+1),ROWS(PartsData!E$2:'PartsData'!E105))),"")</f>
        <v/>
      </c>
      <c r="K105" t="str">
        <f ca="1">IF(J105="","",COUNTIF(ListPembeli,"&lt;="&amp;$J105))</f>
        <v/>
      </c>
      <c r="L105" t="str">
        <f ca="1">IF(K105="","",INDEX(ListPembeli,MATCH(ROWS($K$2:$K105),$K$2:$K$101,0)))</f>
        <v/>
      </c>
      <c r="N105" t="str">
        <f t="array" aca="1" ref="N105" ca="1">IFERROR(INDEX(DaftarPembeli,SMALL(IF(OrderIDList=$M$2,ROW(DaftarPembeli)-ROW(PartsData!I$2)+1),ROWS(PartsData!I$2:'PartsData'!I105))),"")</f>
        <v/>
      </c>
      <c r="O105" t="str">
        <f ca="1">IF(N105="","",COUNTIF(ListCariPembeli,"&lt;="&amp;$N105))</f>
        <v/>
      </c>
      <c r="P105" t="str">
        <f ca="1">IF(O105="","",INDEX(ListCariPembeli,MATCH(ROWS($O$2:$O105),$O$2:$O$201,0)))</f>
        <v/>
      </c>
    </row>
    <row r="106" spans="10:16" x14ac:dyDescent="0.2">
      <c r="J106" t="str">
        <f t="array" aca="1" ref="J106" ca="1">IFERROR(INDEX(DaftarPembeli,SMALL(IF(OrderIDList=$I$2,ROW(DaftarPembeli)-ROW(PartsData!E$2)+1),ROWS(PartsData!E$2:'PartsData'!E106))),"")</f>
        <v/>
      </c>
      <c r="K106" t="str">
        <f ca="1">IF(J106="","",COUNTIF(ListPembeli,"&lt;="&amp;$J106))</f>
        <v/>
      </c>
      <c r="L106" t="str">
        <f ca="1">IF(K106="","",INDEX(ListPembeli,MATCH(ROWS($K$2:$K106),$K$2:$K$101,0)))</f>
        <v/>
      </c>
      <c r="N106" t="str">
        <f t="array" aca="1" ref="N106" ca="1">IFERROR(INDEX(DaftarPembeli,SMALL(IF(OrderIDList=$M$2,ROW(DaftarPembeli)-ROW(PartsData!I$2)+1),ROWS(PartsData!I$2:'PartsData'!I106))),"")</f>
        <v/>
      </c>
      <c r="O106" t="str">
        <f ca="1">IF(N106="","",COUNTIF(ListCariPembeli,"&lt;="&amp;$N106))</f>
        <v/>
      </c>
      <c r="P106" t="str">
        <f ca="1">IF(O106="","",INDEX(ListCariPembeli,MATCH(ROWS($O$2:$O106),$O$2:$O$201,0)))</f>
        <v/>
      </c>
    </row>
    <row r="107" spans="10:16" x14ac:dyDescent="0.2">
      <c r="J107" t="str">
        <f t="array" aca="1" ref="J107" ca="1">IFERROR(INDEX(DaftarPembeli,SMALL(IF(OrderIDList=$I$2,ROW(DaftarPembeli)-ROW(PartsData!E$2)+1),ROWS(PartsData!E$2:'PartsData'!E107))),"")</f>
        <v/>
      </c>
      <c r="K107" t="str">
        <f ca="1">IF(J107="","",COUNTIF(ListPembeli,"&lt;="&amp;$J107))</f>
        <v/>
      </c>
      <c r="L107" t="str">
        <f ca="1">IF(K107="","",INDEX(ListPembeli,MATCH(ROWS($K$2:$K107),$K$2:$K$101,0)))</f>
        <v/>
      </c>
      <c r="N107" t="str">
        <f t="array" aca="1" ref="N107" ca="1">IFERROR(INDEX(DaftarPembeli,SMALL(IF(OrderIDList=$M$2,ROW(DaftarPembeli)-ROW(PartsData!I$2)+1),ROWS(PartsData!I$2:'PartsData'!I107))),"")</f>
        <v/>
      </c>
      <c r="O107" t="str">
        <f ca="1">IF(N107="","",COUNTIF(ListCariPembeli,"&lt;="&amp;$N107))</f>
        <v/>
      </c>
      <c r="P107" t="str">
        <f ca="1">IF(O107="","",INDEX(ListCariPembeli,MATCH(ROWS($O$2:$O107),$O$2:$O$201,0)))</f>
        <v/>
      </c>
    </row>
    <row r="108" spans="10:16" x14ac:dyDescent="0.2">
      <c r="J108" t="str">
        <f t="array" aca="1" ref="J108" ca="1">IFERROR(INDEX(DaftarPembeli,SMALL(IF(OrderIDList=$I$2,ROW(DaftarPembeli)-ROW(PartsData!E$2)+1),ROWS(PartsData!E$2:'PartsData'!E108))),"")</f>
        <v/>
      </c>
      <c r="K108" t="str">
        <f ca="1">IF(J108="","",COUNTIF(ListPembeli,"&lt;="&amp;$J108))</f>
        <v/>
      </c>
      <c r="L108" t="str">
        <f ca="1">IF(K108="","",INDEX(ListPembeli,MATCH(ROWS($K$2:$K108),$K$2:$K$101,0)))</f>
        <v/>
      </c>
      <c r="N108" t="str">
        <f t="array" aca="1" ref="N108" ca="1">IFERROR(INDEX(DaftarPembeli,SMALL(IF(OrderIDList=$M$2,ROW(DaftarPembeli)-ROW(PartsData!I$2)+1),ROWS(PartsData!I$2:'PartsData'!I108))),"")</f>
        <v/>
      </c>
      <c r="O108" t="str">
        <f ca="1">IF(N108="","",COUNTIF(ListCariPembeli,"&lt;="&amp;$N108))</f>
        <v/>
      </c>
      <c r="P108" t="str">
        <f ca="1">IF(O108="","",INDEX(ListCariPembeli,MATCH(ROWS($O$2:$O108),$O$2:$O$201,0)))</f>
        <v/>
      </c>
    </row>
    <row r="109" spans="10:16" x14ac:dyDescent="0.2">
      <c r="J109" t="str">
        <f t="array" aca="1" ref="J109" ca="1">IFERROR(INDEX(DaftarPembeli,SMALL(IF(OrderIDList=$I$2,ROW(DaftarPembeli)-ROW(PartsData!E$2)+1),ROWS(PartsData!E$2:'PartsData'!E109))),"")</f>
        <v/>
      </c>
      <c r="K109" t="str">
        <f ca="1">IF(J109="","",COUNTIF(ListPembeli,"&lt;="&amp;$J109))</f>
        <v/>
      </c>
      <c r="L109" t="str">
        <f ca="1">IF(K109="","",INDEX(ListPembeli,MATCH(ROWS($K$2:$K109),$K$2:$K$101,0)))</f>
        <v/>
      </c>
      <c r="N109" t="str">
        <f t="array" aca="1" ref="N109" ca="1">IFERROR(INDEX(DaftarPembeli,SMALL(IF(OrderIDList=$M$2,ROW(DaftarPembeli)-ROW(PartsData!I$2)+1),ROWS(PartsData!I$2:'PartsData'!I109))),"")</f>
        <v/>
      </c>
      <c r="O109" t="str">
        <f ca="1">IF(N109="","",COUNTIF(ListCariPembeli,"&lt;="&amp;$N109))</f>
        <v/>
      </c>
      <c r="P109" t="str">
        <f ca="1">IF(O109="","",INDEX(ListCariPembeli,MATCH(ROWS($O$2:$O109),$O$2:$O$201,0)))</f>
        <v/>
      </c>
    </row>
    <row r="110" spans="10:16" x14ac:dyDescent="0.2">
      <c r="J110" t="str">
        <f t="array" aca="1" ref="J110" ca="1">IFERROR(INDEX(DaftarPembeli,SMALL(IF(OrderIDList=$I$2,ROW(DaftarPembeli)-ROW(PartsData!E$2)+1),ROWS(PartsData!E$2:'PartsData'!E110))),"")</f>
        <v/>
      </c>
      <c r="K110" t="str">
        <f ca="1">IF(J110="","",COUNTIF(ListPembeli,"&lt;="&amp;$J110))</f>
        <v/>
      </c>
      <c r="L110" t="str">
        <f ca="1">IF(K110="","",INDEX(ListPembeli,MATCH(ROWS($K$2:$K110),$K$2:$K$101,0)))</f>
        <v/>
      </c>
      <c r="N110" t="str">
        <f t="array" aca="1" ref="N110" ca="1">IFERROR(INDEX(DaftarPembeli,SMALL(IF(OrderIDList=$M$2,ROW(DaftarPembeli)-ROW(PartsData!I$2)+1),ROWS(PartsData!I$2:'PartsData'!I110))),"")</f>
        <v/>
      </c>
      <c r="O110" t="str">
        <f ca="1">IF(N110="","",COUNTIF(ListCariPembeli,"&lt;="&amp;$N110))</f>
        <v/>
      </c>
      <c r="P110" t="str">
        <f ca="1">IF(O110="","",INDEX(ListCariPembeli,MATCH(ROWS($O$2:$O110),$O$2:$O$201,0)))</f>
        <v/>
      </c>
    </row>
    <row r="111" spans="10:16" x14ac:dyDescent="0.2">
      <c r="J111" t="str">
        <f t="array" aca="1" ref="J111" ca="1">IFERROR(INDEX(DaftarPembeli,SMALL(IF(OrderIDList=$I$2,ROW(DaftarPembeli)-ROW(PartsData!E$2)+1),ROWS(PartsData!E$2:'PartsData'!E111))),"")</f>
        <v/>
      </c>
      <c r="K111" t="str">
        <f ca="1">IF(J111="","",COUNTIF(ListPembeli,"&lt;="&amp;$J111))</f>
        <v/>
      </c>
      <c r="L111" t="str">
        <f ca="1">IF(K111="","",INDEX(ListPembeli,MATCH(ROWS($K$2:$K111),$K$2:$K$101,0)))</f>
        <v/>
      </c>
      <c r="N111" t="str">
        <f t="array" aca="1" ref="N111" ca="1">IFERROR(INDEX(DaftarPembeli,SMALL(IF(OrderIDList=$M$2,ROW(DaftarPembeli)-ROW(PartsData!I$2)+1),ROWS(PartsData!I$2:'PartsData'!I111))),"")</f>
        <v/>
      </c>
      <c r="O111" t="str">
        <f ca="1">IF(N111="","",COUNTIF(ListCariPembeli,"&lt;="&amp;$N111))</f>
        <v/>
      </c>
      <c r="P111" t="str">
        <f ca="1">IF(O111="","",INDEX(ListCariPembeli,MATCH(ROWS($O$2:$O111),$O$2:$O$201,0)))</f>
        <v/>
      </c>
    </row>
    <row r="112" spans="10:16" x14ac:dyDescent="0.2">
      <c r="J112" t="str">
        <f t="array" aca="1" ref="J112" ca="1">IFERROR(INDEX(DaftarPembeli,SMALL(IF(OrderIDList=$I$2,ROW(DaftarPembeli)-ROW(PartsData!E$2)+1),ROWS(PartsData!E$2:'PartsData'!E112))),"")</f>
        <v/>
      </c>
      <c r="K112" t="str">
        <f ca="1">IF(J112="","",COUNTIF(ListPembeli,"&lt;="&amp;$J112))</f>
        <v/>
      </c>
      <c r="L112" t="str">
        <f ca="1">IF(K112="","",INDEX(ListPembeli,MATCH(ROWS($K$2:$K112),$K$2:$K$101,0)))</f>
        <v/>
      </c>
      <c r="N112" t="str">
        <f t="array" aca="1" ref="N112" ca="1">IFERROR(INDEX(DaftarPembeli,SMALL(IF(OrderIDList=$M$2,ROW(DaftarPembeli)-ROW(PartsData!I$2)+1),ROWS(PartsData!I$2:'PartsData'!I112))),"")</f>
        <v/>
      </c>
      <c r="O112" t="str">
        <f ca="1">IF(N112="","",COUNTIF(ListCariPembeli,"&lt;="&amp;$N112))</f>
        <v/>
      </c>
      <c r="P112" t="str">
        <f ca="1">IF(O112="","",INDEX(ListCariPembeli,MATCH(ROWS($O$2:$O112),$O$2:$O$201,0)))</f>
        <v/>
      </c>
    </row>
    <row r="113" spans="10:16" x14ac:dyDescent="0.2">
      <c r="J113" t="str">
        <f t="array" aca="1" ref="J113" ca="1">IFERROR(INDEX(DaftarPembeli,SMALL(IF(OrderIDList=$I$2,ROW(DaftarPembeli)-ROW(PartsData!E$2)+1),ROWS(PartsData!E$2:'PartsData'!E113))),"")</f>
        <v/>
      </c>
      <c r="K113" t="str">
        <f ca="1">IF(J113="","",COUNTIF(ListPembeli,"&lt;="&amp;$J113))</f>
        <v/>
      </c>
      <c r="L113" t="str">
        <f ca="1">IF(K113="","",INDEX(ListPembeli,MATCH(ROWS($K$2:$K113),$K$2:$K$101,0)))</f>
        <v/>
      </c>
      <c r="N113" t="str">
        <f t="array" aca="1" ref="N113" ca="1">IFERROR(INDEX(DaftarPembeli,SMALL(IF(OrderIDList=$M$2,ROW(DaftarPembeli)-ROW(PartsData!I$2)+1),ROWS(PartsData!I$2:'PartsData'!I113))),"")</f>
        <v/>
      </c>
      <c r="O113" t="str">
        <f ca="1">IF(N113="","",COUNTIF(ListCariPembeli,"&lt;="&amp;$N113))</f>
        <v/>
      </c>
      <c r="P113" t="str">
        <f ca="1">IF(O113="","",INDEX(ListCariPembeli,MATCH(ROWS($O$2:$O113),$O$2:$O$201,0)))</f>
        <v/>
      </c>
    </row>
    <row r="114" spans="10:16" x14ac:dyDescent="0.2">
      <c r="J114" t="str">
        <f t="array" aca="1" ref="J114" ca="1">IFERROR(INDEX(DaftarPembeli,SMALL(IF(OrderIDList=$I$2,ROW(DaftarPembeli)-ROW(PartsData!E$2)+1),ROWS(PartsData!E$2:'PartsData'!E114))),"")</f>
        <v/>
      </c>
      <c r="K114" t="str">
        <f ca="1">IF(J114="","",COUNTIF(ListPembeli,"&lt;="&amp;$J114))</f>
        <v/>
      </c>
      <c r="L114" t="str">
        <f ca="1">IF(K114="","",INDEX(ListPembeli,MATCH(ROWS($K$2:$K114),$K$2:$K$101,0)))</f>
        <v/>
      </c>
      <c r="N114" t="str">
        <f t="array" aca="1" ref="N114" ca="1">IFERROR(INDEX(DaftarPembeli,SMALL(IF(OrderIDList=$M$2,ROW(DaftarPembeli)-ROW(PartsData!I$2)+1),ROWS(PartsData!I$2:'PartsData'!I114))),"")</f>
        <v/>
      </c>
      <c r="O114" t="str">
        <f ca="1">IF(N114="","",COUNTIF(ListCariPembeli,"&lt;="&amp;$N114))</f>
        <v/>
      </c>
      <c r="P114" t="str">
        <f ca="1">IF(O114="","",INDEX(ListCariPembeli,MATCH(ROWS($O$2:$O114),$O$2:$O$201,0)))</f>
        <v/>
      </c>
    </row>
    <row r="115" spans="10:16" x14ac:dyDescent="0.2">
      <c r="J115" t="str">
        <f t="array" aca="1" ref="J115" ca="1">IFERROR(INDEX(DaftarPembeli,SMALL(IF(OrderIDList=$I$2,ROW(DaftarPembeli)-ROW(PartsData!E$2)+1),ROWS(PartsData!E$2:'PartsData'!E115))),"")</f>
        <v/>
      </c>
      <c r="K115" t="str">
        <f ca="1">IF(J115="","",COUNTIF(ListPembeli,"&lt;="&amp;$J115))</f>
        <v/>
      </c>
      <c r="L115" t="str">
        <f ca="1">IF(K115="","",INDEX(ListPembeli,MATCH(ROWS($K$2:$K115),$K$2:$K$101,0)))</f>
        <v/>
      </c>
      <c r="N115" t="str">
        <f t="array" aca="1" ref="N115" ca="1">IFERROR(INDEX(DaftarPembeli,SMALL(IF(OrderIDList=$M$2,ROW(DaftarPembeli)-ROW(PartsData!I$2)+1),ROWS(PartsData!I$2:'PartsData'!I115))),"")</f>
        <v/>
      </c>
      <c r="O115" t="str">
        <f ca="1">IF(N115="","",COUNTIF(ListCariPembeli,"&lt;="&amp;$N115))</f>
        <v/>
      </c>
      <c r="P115" t="str">
        <f ca="1">IF(O115="","",INDEX(ListCariPembeli,MATCH(ROWS($O$2:$O115),$O$2:$O$201,0)))</f>
        <v/>
      </c>
    </row>
    <row r="116" spans="10:16" x14ac:dyDescent="0.2">
      <c r="J116" t="str">
        <f t="array" aca="1" ref="J116" ca="1">IFERROR(INDEX(DaftarPembeli,SMALL(IF(OrderIDList=$I$2,ROW(DaftarPembeli)-ROW(PartsData!E$2)+1),ROWS(PartsData!E$2:'PartsData'!E116))),"")</f>
        <v/>
      </c>
      <c r="K116" t="str">
        <f ca="1">IF(J116="","",COUNTIF(ListPembeli,"&lt;="&amp;$J116))</f>
        <v/>
      </c>
      <c r="L116" t="str">
        <f ca="1">IF(K116="","",INDEX(ListPembeli,MATCH(ROWS($K$2:$K116),$K$2:$K$101,0)))</f>
        <v/>
      </c>
      <c r="N116" t="str">
        <f t="array" aca="1" ref="N116" ca="1">IFERROR(INDEX(DaftarPembeli,SMALL(IF(OrderIDList=$M$2,ROW(DaftarPembeli)-ROW(PartsData!I$2)+1),ROWS(PartsData!I$2:'PartsData'!I116))),"")</f>
        <v/>
      </c>
      <c r="O116" t="str">
        <f ca="1">IF(N116="","",COUNTIF(ListCariPembeli,"&lt;="&amp;$N116))</f>
        <v/>
      </c>
      <c r="P116" t="str">
        <f ca="1">IF(O116="","",INDEX(ListCariPembeli,MATCH(ROWS($O$2:$O116),$O$2:$O$201,0)))</f>
        <v/>
      </c>
    </row>
    <row r="117" spans="10:16" x14ac:dyDescent="0.2">
      <c r="J117" t="str">
        <f t="array" aca="1" ref="J117" ca="1">IFERROR(INDEX(DaftarPembeli,SMALL(IF(OrderIDList=$I$2,ROW(DaftarPembeli)-ROW(PartsData!E$2)+1),ROWS(PartsData!E$2:'PartsData'!E117))),"")</f>
        <v/>
      </c>
      <c r="K117" t="str">
        <f ca="1">IF(J117="","",COUNTIF(ListPembeli,"&lt;="&amp;$J117))</f>
        <v/>
      </c>
      <c r="L117" t="str">
        <f ca="1">IF(K117="","",INDEX(ListPembeli,MATCH(ROWS($K$2:$K117),$K$2:$K$101,0)))</f>
        <v/>
      </c>
      <c r="N117" s="1" t="str">
        <f t="array" aca="1" ref="N117" ca="1">IFERROR(INDEX(DaftarPembeli,SMALL(IF(OrderIDList=$M$2,ROW(DaftarPembeli)-ROW(PartsData!I$2)+1),ROWS(PartsData!I$2:'PartsData'!I117))),"")</f>
        <v/>
      </c>
      <c r="O117" t="str">
        <f ca="1">IF(N117="","",COUNTIF(ListCariPembeli,"&lt;="&amp;$N117))</f>
        <v/>
      </c>
      <c r="P117" t="str">
        <f ca="1">IF(O117="","",INDEX(ListCariPembeli,MATCH(ROWS($O$2:$O117),$O$2:$O$201,0)))</f>
        <v/>
      </c>
    </row>
    <row r="118" spans="10:16" x14ac:dyDescent="0.2">
      <c r="J118" t="str">
        <f t="array" aca="1" ref="J118" ca="1">IFERROR(INDEX(DaftarPembeli,SMALL(IF(OrderIDList=$I$2,ROW(DaftarPembeli)-ROW(PartsData!E$2)+1),ROWS(PartsData!E$2:'PartsData'!E118))),"")</f>
        <v/>
      </c>
      <c r="K118" t="str">
        <f ca="1">IF(J118="","",COUNTIF(ListPembeli,"&lt;="&amp;$J118))</f>
        <v/>
      </c>
      <c r="L118" t="str">
        <f ca="1">IF(K118="","",INDEX(ListPembeli,MATCH(ROWS($K$2:$K118),$K$2:$K$101,0)))</f>
        <v/>
      </c>
      <c r="N118" s="1" t="str">
        <f t="array" aca="1" ref="N118" ca="1">IFERROR(INDEX(DaftarPembeli,SMALL(IF(OrderIDList=$M$2,ROW(DaftarPembeli)-ROW(PartsData!I$2)+1),ROWS(PartsData!I$2:'PartsData'!I118))),"")</f>
        <v/>
      </c>
      <c r="O118" t="str">
        <f ca="1">IF(N118="","",COUNTIF(ListCariPembeli,"&lt;="&amp;$N118))</f>
        <v/>
      </c>
      <c r="P118" t="str">
        <f ca="1">IF(O118="","",INDEX(ListCariPembeli,MATCH(ROWS($O$2:$O118),$O$2:$O$201,0)))</f>
        <v/>
      </c>
    </row>
    <row r="119" spans="10:16" x14ac:dyDescent="0.2">
      <c r="J119" t="str">
        <f t="array" aca="1" ref="J119" ca="1">IFERROR(INDEX(DaftarPembeli,SMALL(IF(OrderIDList=$I$2,ROW(DaftarPembeli)-ROW(PartsData!E$2)+1),ROWS(PartsData!E$2:'PartsData'!E119))),"")</f>
        <v/>
      </c>
      <c r="K119" t="str">
        <f ca="1">IF(J119="","",COUNTIF(ListPembeli,"&lt;="&amp;$J119))</f>
        <v/>
      </c>
      <c r="L119" t="str">
        <f ca="1">IF(K119="","",INDEX(ListPembeli,MATCH(ROWS($K$2:$K119),$K$2:$K$101,0)))</f>
        <v/>
      </c>
      <c r="N119" s="1" t="str">
        <f t="array" aca="1" ref="N119" ca="1">IFERROR(INDEX(DaftarPembeli,SMALL(IF(OrderIDList=$M$2,ROW(DaftarPembeli)-ROW(PartsData!I$2)+1),ROWS(PartsData!I$2:'PartsData'!I119))),"")</f>
        <v/>
      </c>
      <c r="O119" t="str">
        <f ca="1">IF(N119="","",COUNTIF(ListCariPembeli,"&lt;="&amp;$N119))</f>
        <v/>
      </c>
      <c r="P119" t="str">
        <f ca="1">IF(O119="","",INDEX(ListCariPembeli,MATCH(ROWS($O$2:$O119),$O$2:$O$201,0)))</f>
        <v/>
      </c>
    </row>
    <row r="120" spans="10:16" x14ac:dyDescent="0.2">
      <c r="J120" t="str">
        <f t="array" aca="1" ref="J120" ca="1">IFERROR(INDEX(DaftarPembeli,SMALL(IF(OrderIDList=$I$2,ROW(DaftarPembeli)-ROW(PartsData!E$2)+1),ROWS(PartsData!E$2:'PartsData'!E120))),"")</f>
        <v/>
      </c>
      <c r="K120" t="str">
        <f ca="1">IF(J120="","",COUNTIF(ListPembeli,"&lt;="&amp;$J120))</f>
        <v/>
      </c>
      <c r="L120" t="str">
        <f ca="1">IF(K120="","",INDEX(ListPembeli,MATCH(ROWS($K$2:$K120),$K$2:$K$101,0)))</f>
        <v/>
      </c>
      <c r="N120" s="1" t="str">
        <f t="array" aca="1" ref="N120" ca="1">IFERROR(INDEX(DaftarPembeli,SMALL(IF(OrderIDList=$M$2,ROW(DaftarPembeli)-ROW(PartsData!I$2)+1),ROWS(PartsData!I$2:'PartsData'!I120))),"")</f>
        <v/>
      </c>
      <c r="O120" t="str">
        <f ca="1">IF(N120="","",COUNTIF(ListCariPembeli,"&lt;="&amp;$N120))</f>
        <v/>
      </c>
      <c r="P120" t="str">
        <f ca="1">IF(O120="","",INDEX(ListCariPembeli,MATCH(ROWS($O$2:$O120),$O$2:$O$201,0)))</f>
        <v/>
      </c>
    </row>
    <row r="121" spans="10:16" x14ac:dyDescent="0.2">
      <c r="J121" t="str">
        <f t="array" aca="1" ref="J121" ca="1">IFERROR(INDEX(DaftarPembeli,SMALL(IF(OrderIDList=$I$2,ROW(DaftarPembeli)-ROW(PartsData!E$2)+1),ROWS(PartsData!E$2:'PartsData'!E121))),"")</f>
        <v/>
      </c>
      <c r="K121" t="str">
        <f ca="1">IF(J121="","",COUNTIF(ListPembeli,"&lt;="&amp;$J121))</f>
        <v/>
      </c>
      <c r="L121" t="str">
        <f ca="1">IF(K121="","",INDEX(ListPembeli,MATCH(ROWS($K$2:$K121),$K$2:$K$101,0)))</f>
        <v/>
      </c>
      <c r="N121" s="1" t="str">
        <f t="array" aca="1" ref="N121" ca="1">IFERROR(INDEX(DaftarPembeli,SMALL(IF(OrderIDList=$M$2,ROW(DaftarPembeli)-ROW(PartsData!I$2)+1),ROWS(PartsData!I$2:'PartsData'!I121))),"")</f>
        <v/>
      </c>
      <c r="O121" t="str">
        <f ca="1">IF(N121="","",COUNTIF(ListCariPembeli,"&lt;="&amp;$N121))</f>
        <v/>
      </c>
      <c r="P121" t="str">
        <f ca="1">IF(O121="","",INDEX(ListCariPembeli,MATCH(ROWS($O$2:$O121),$O$2:$O$201,0)))</f>
        <v/>
      </c>
    </row>
    <row r="122" spans="10:16" x14ac:dyDescent="0.2">
      <c r="J122" t="str">
        <f t="array" aca="1" ref="J122" ca="1">IFERROR(INDEX(DaftarPembeli,SMALL(IF(OrderIDList=$I$2,ROW(DaftarPembeli)-ROW(PartsData!E$2)+1),ROWS(PartsData!E$2:'PartsData'!E122))),"")</f>
        <v/>
      </c>
      <c r="K122" t="str">
        <f ca="1">IF(J122="","",COUNTIF(ListPembeli,"&lt;="&amp;$J122))</f>
        <v/>
      </c>
      <c r="L122" t="str">
        <f ca="1">IF(K122="","",INDEX(ListPembeli,MATCH(ROWS($K$2:$K122),$K$2:$K$101,0)))</f>
        <v/>
      </c>
      <c r="N122" s="1" t="str">
        <f t="array" aca="1" ref="N122" ca="1">IFERROR(INDEX(DaftarPembeli,SMALL(IF(OrderIDList=$M$2,ROW(DaftarPembeli)-ROW(PartsData!I$2)+1),ROWS(PartsData!I$2:'PartsData'!I122))),"")</f>
        <v/>
      </c>
      <c r="O122" t="str">
        <f ca="1">IF(N122="","",COUNTIF(ListCariPembeli,"&lt;="&amp;$N122))</f>
        <v/>
      </c>
      <c r="P122" t="str">
        <f ca="1">IF(O122="","",INDEX(ListCariPembeli,MATCH(ROWS($O$2:$O122),$O$2:$O$201,0)))</f>
        <v/>
      </c>
    </row>
    <row r="123" spans="10:16" x14ac:dyDescent="0.2">
      <c r="J123" t="str">
        <f t="array" aca="1" ref="J123" ca="1">IFERROR(INDEX(DaftarPembeli,SMALL(IF(OrderIDList=$I$2,ROW(DaftarPembeli)-ROW(PartsData!E$2)+1),ROWS(PartsData!E$2:'PartsData'!E123))),"")</f>
        <v/>
      </c>
      <c r="K123" t="str">
        <f ca="1">IF(J123="","",COUNTIF(ListPembeli,"&lt;="&amp;$J123))</f>
        <v/>
      </c>
      <c r="L123" t="str">
        <f ca="1">IF(K123="","",INDEX(ListPembeli,MATCH(ROWS($K$2:$K123),$K$2:$K$101,0)))</f>
        <v/>
      </c>
      <c r="N123" s="1" t="str">
        <f t="array" aca="1" ref="N123" ca="1">IFERROR(INDEX(DaftarPembeli,SMALL(IF(OrderIDList=$M$2,ROW(DaftarPembeli)-ROW(PartsData!I$2)+1),ROWS(PartsData!I$2:'PartsData'!I123))),"")</f>
        <v/>
      </c>
      <c r="O123" t="str">
        <f ca="1">IF(N123="","",COUNTIF(ListCariPembeli,"&lt;="&amp;$N123))</f>
        <v/>
      </c>
      <c r="P123" t="str">
        <f ca="1">IF(O123="","",INDEX(ListCariPembeli,MATCH(ROWS($O$2:$O123),$O$2:$O$201,0)))</f>
        <v/>
      </c>
    </row>
    <row r="124" spans="10:16" x14ac:dyDescent="0.2">
      <c r="J124" t="str">
        <f t="array" aca="1" ref="J124" ca="1">IFERROR(INDEX(DaftarPembeli,SMALL(IF(OrderIDList=$I$2,ROW(DaftarPembeli)-ROW(PartsData!E$2)+1),ROWS(PartsData!E$2:'PartsData'!E124))),"")</f>
        <v/>
      </c>
      <c r="K124" t="str">
        <f ca="1">IF(J124="","",COUNTIF(ListPembeli,"&lt;="&amp;$J124))</f>
        <v/>
      </c>
      <c r="L124" t="str">
        <f ca="1">IF(K124="","",INDEX(ListPembeli,MATCH(ROWS($K$2:$K124),$K$2:$K$101,0)))</f>
        <v/>
      </c>
      <c r="N124" s="1" t="str">
        <f t="array" aca="1" ref="N124" ca="1">IFERROR(INDEX(DaftarPembeli,SMALL(IF(OrderIDList=$M$2,ROW(DaftarPembeli)-ROW(PartsData!I$2)+1),ROWS(PartsData!I$2:'PartsData'!I124))),"")</f>
        <v/>
      </c>
      <c r="O124" t="str">
        <f ca="1">IF(N124="","",COUNTIF(ListCariPembeli,"&lt;="&amp;$N124))</f>
        <v/>
      </c>
      <c r="P124" t="str">
        <f ca="1">IF(O124="","",INDEX(ListCariPembeli,MATCH(ROWS($O$2:$O124),$O$2:$O$201,0)))</f>
        <v/>
      </c>
    </row>
    <row r="125" spans="10:16" x14ac:dyDescent="0.2">
      <c r="J125" t="str">
        <f t="array" aca="1" ref="J125" ca="1">IFERROR(INDEX(DaftarPembeli,SMALL(IF(OrderIDList=$I$2,ROW(DaftarPembeli)-ROW(PartsData!E$2)+1),ROWS(PartsData!E$2:'PartsData'!E125))),"")</f>
        <v/>
      </c>
      <c r="K125" t="str">
        <f ca="1">IF(J125="","",COUNTIF(ListPembeli,"&lt;="&amp;$J125))</f>
        <v/>
      </c>
      <c r="L125" t="str">
        <f ca="1">IF(K125="","",INDEX(ListPembeli,MATCH(ROWS($K$2:$K125),$K$2:$K$101,0)))</f>
        <v/>
      </c>
      <c r="N125" s="1" t="str">
        <f t="array" aca="1" ref="N125" ca="1">IFERROR(INDEX(DaftarPembeli,SMALL(IF(OrderIDList=$M$2,ROW(DaftarPembeli)-ROW(PartsData!I$2)+1),ROWS(PartsData!I$2:'PartsData'!I125))),"")</f>
        <v/>
      </c>
      <c r="O125" t="str">
        <f ca="1">IF(N125="","",COUNTIF(ListCariPembeli,"&lt;="&amp;$N125))</f>
        <v/>
      </c>
      <c r="P125" t="str">
        <f ca="1">IF(O125="","",INDEX(ListCariPembeli,MATCH(ROWS($O$2:$O125),$O$2:$O$201,0)))</f>
        <v/>
      </c>
    </row>
    <row r="126" spans="10:16" x14ac:dyDescent="0.2">
      <c r="J126" t="str">
        <f t="array" aca="1" ref="J126" ca="1">IFERROR(INDEX(DaftarPembeli,SMALL(IF(OrderIDList=$I$2,ROW(DaftarPembeli)-ROW(PartsData!E$2)+1),ROWS(PartsData!E$2:'PartsData'!E126))),"")</f>
        <v/>
      </c>
      <c r="K126" t="str">
        <f ca="1">IF(J126="","",COUNTIF(ListPembeli,"&lt;="&amp;$J126))</f>
        <v/>
      </c>
      <c r="L126" t="str">
        <f ca="1">IF(K126="","",INDEX(ListPembeli,MATCH(ROWS($K$2:$K126),$K$2:$K$101,0)))</f>
        <v/>
      </c>
      <c r="N126" s="1" t="str">
        <f t="array" aca="1" ref="N126" ca="1">IFERROR(INDEX(DaftarPembeli,SMALL(IF(OrderIDList=$M$2,ROW(DaftarPembeli)-ROW(PartsData!I$2)+1),ROWS(PartsData!I$2:'PartsData'!I126))),"")</f>
        <v/>
      </c>
      <c r="O126" t="str">
        <f ca="1">IF(N126="","",COUNTIF(ListCariPembeli,"&lt;="&amp;$N126))</f>
        <v/>
      </c>
      <c r="P126" t="str">
        <f ca="1">IF(O126="","",INDEX(ListCariPembeli,MATCH(ROWS($O$2:$O126),$O$2:$O$201,0)))</f>
        <v/>
      </c>
    </row>
    <row r="127" spans="10:16" x14ac:dyDescent="0.2">
      <c r="J127" t="str">
        <f t="array" aca="1" ref="J127" ca="1">IFERROR(INDEX(DaftarPembeli,SMALL(IF(OrderIDList=$I$2,ROW(DaftarPembeli)-ROW(PartsData!E$2)+1),ROWS(PartsData!E$2:'PartsData'!E127))),"")</f>
        <v/>
      </c>
      <c r="K127" t="str">
        <f ca="1">IF(J127="","",COUNTIF(ListPembeli,"&lt;="&amp;$J127))</f>
        <v/>
      </c>
      <c r="L127" t="str">
        <f ca="1">IF(K127="","",INDEX(ListPembeli,MATCH(ROWS($K$2:$K127),$K$2:$K$101,0)))</f>
        <v/>
      </c>
      <c r="N127" s="1" t="str">
        <f t="array" aca="1" ref="N127" ca="1">IFERROR(INDEX(DaftarPembeli,SMALL(IF(OrderIDList=$M$2,ROW(DaftarPembeli)-ROW(PartsData!I$2)+1),ROWS(PartsData!I$2:'PartsData'!I127))),"")</f>
        <v/>
      </c>
      <c r="O127" t="str">
        <f ca="1">IF(N127="","",COUNTIF(ListCariPembeli,"&lt;="&amp;$N127))</f>
        <v/>
      </c>
      <c r="P127" t="str">
        <f ca="1">IF(O127="","",INDEX(ListCariPembeli,MATCH(ROWS($O$2:$O127),$O$2:$O$201,0)))</f>
        <v/>
      </c>
    </row>
    <row r="128" spans="10:16" x14ac:dyDescent="0.2">
      <c r="J128" t="str">
        <f t="array" aca="1" ref="J128" ca="1">IFERROR(INDEX(DaftarPembeli,SMALL(IF(OrderIDList=$I$2,ROW(DaftarPembeli)-ROW(PartsData!E$2)+1),ROWS(PartsData!E$2:'PartsData'!E128))),"")</f>
        <v/>
      </c>
      <c r="K128" t="str">
        <f ca="1">IF(J128="","",COUNTIF(ListPembeli,"&lt;="&amp;$J128))</f>
        <v/>
      </c>
      <c r="L128" t="str">
        <f ca="1">IF(K128="","",INDEX(ListPembeli,MATCH(ROWS($K$2:$K128),$K$2:$K$101,0)))</f>
        <v/>
      </c>
      <c r="N128" s="1" t="str">
        <f t="array" aca="1" ref="N128" ca="1">IFERROR(INDEX(DaftarPembeli,SMALL(IF(OrderIDList=$M$2,ROW(DaftarPembeli)-ROW(PartsData!I$2)+1),ROWS(PartsData!I$2:'PartsData'!I128))),"")</f>
        <v/>
      </c>
      <c r="O128" t="str">
        <f ca="1">IF(N128="","",COUNTIF(ListCariPembeli,"&lt;="&amp;$N128))</f>
        <v/>
      </c>
      <c r="P128" t="str">
        <f ca="1">IF(O128="","",INDEX(ListCariPembeli,MATCH(ROWS($O$2:$O128),$O$2:$O$201,0)))</f>
        <v/>
      </c>
    </row>
    <row r="129" spans="10:16" x14ac:dyDescent="0.2">
      <c r="J129" t="str">
        <f t="array" aca="1" ref="J129" ca="1">IFERROR(INDEX(DaftarPembeli,SMALL(IF(OrderIDList=$I$2,ROW(DaftarPembeli)-ROW(PartsData!E$2)+1),ROWS(PartsData!E$2:'PartsData'!E129))),"")</f>
        <v/>
      </c>
      <c r="K129" t="str">
        <f ca="1">IF(J129="","",COUNTIF(ListPembeli,"&lt;="&amp;$J129))</f>
        <v/>
      </c>
      <c r="L129" t="str">
        <f ca="1">IF(K129="","",INDEX(ListPembeli,MATCH(ROWS($K$2:$K129),$K$2:$K$101,0)))</f>
        <v/>
      </c>
      <c r="N129" s="1" t="str">
        <f t="array" aca="1" ref="N129" ca="1">IFERROR(INDEX(DaftarPembeli,SMALL(IF(OrderIDList=$M$2,ROW(DaftarPembeli)-ROW(PartsData!I$2)+1),ROWS(PartsData!I$2:'PartsData'!I129))),"")</f>
        <v/>
      </c>
      <c r="O129" t="str">
        <f ca="1">IF(N129="","",COUNTIF(ListCariPembeli,"&lt;="&amp;$N129))</f>
        <v/>
      </c>
      <c r="P129" t="str">
        <f ca="1">IF(O129="","",INDEX(ListCariPembeli,MATCH(ROWS($O$2:$O129),$O$2:$O$201,0)))</f>
        <v/>
      </c>
    </row>
    <row r="130" spans="10:16" x14ac:dyDescent="0.2">
      <c r="J130" t="str">
        <f t="array" aca="1" ref="J130" ca="1">IFERROR(INDEX(DaftarPembeli,SMALL(IF(OrderIDList=$I$2,ROW(DaftarPembeli)-ROW(PartsData!E$2)+1),ROWS(PartsData!E$2:'PartsData'!E130))),"")</f>
        <v/>
      </c>
      <c r="K130" t="str">
        <f ca="1">IF(J130="","",COUNTIF(ListPembeli,"&lt;="&amp;$J130))</f>
        <v/>
      </c>
      <c r="L130" t="str">
        <f ca="1">IF(K130="","",INDEX(ListPembeli,MATCH(ROWS($K$2:$K130),$K$2:$K$101,0)))</f>
        <v/>
      </c>
      <c r="N130" s="1" t="str">
        <f t="array" aca="1" ref="N130" ca="1">IFERROR(INDEX(DaftarPembeli,SMALL(IF(OrderIDList=$M$2,ROW(DaftarPembeli)-ROW(PartsData!I$2)+1),ROWS(PartsData!I$2:'PartsData'!I130))),"")</f>
        <v/>
      </c>
      <c r="O130" t="str">
        <f ca="1">IF(N130="","",COUNTIF(ListCariPembeli,"&lt;="&amp;$N130))</f>
        <v/>
      </c>
      <c r="P130" t="str">
        <f ca="1">IF(O130="","",INDEX(ListCariPembeli,MATCH(ROWS($O$2:$O130),$O$2:$O$201,0)))</f>
        <v/>
      </c>
    </row>
    <row r="131" spans="10:16" x14ac:dyDescent="0.2">
      <c r="J131" t="str">
        <f t="array" aca="1" ref="J131" ca="1">IFERROR(INDEX(DaftarPembeli,SMALL(IF(OrderIDList=$I$2,ROW(DaftarPembeli)-ROW(PartsData!E$2)+1),ROWS(PartsData!E$2:'PartsData'!E131))),"")</f>
        <v/>
      </c>
      <c r="K131" t="str">
        <f ca="1">IF(J131="","",COUNTIF(ListPembeli,"&lt;="&amp;$J131))</f>
        <v/>
      </c>
      <c r="L131" t="str">
        <f ca="1">IF(K131="","",INDEX(ListPembeli,MATCH(ROWS($K$2:$K131),$K$2:$K$101,0)))</f>
        <v/>
      </c>
      <c r="N131" s="1" t="str">
        <f t="array" aca="1" ref="N131" ca="1">IFERROR(INDEX(DaftarPembeli,SMALL(IF(OrderIDList=$M$2,ROW(DaftarPembeli)-ROW(PartsData!I$2)+1),ROWS(PartsData!I$2:'PartsData'!I131))),"")</f>
        <v/>
      </c>
      <c r="O131" t="str">
        <f ca="1">IF(N131="","",COUNTIF(ListCariPembeli,"&lt;="&amp;$N131))</f>
        <v/>
      </c>
      <c r="P131" t="str">
        <f ca="1">IF(O131="","",INDEX(ListCariPembeli,MATCH(ROWS($O$2:$O131),$O$2:$O$201,0)))</f>
        <v/>
      </c>
    </row>
    <row r="132" spans="10:16" x14ac:dyDescent="0.2">
      <c r="J132" t="str">
        <f t="array" aca="1" ref="J132" ca="1">IFERROR(INDEX(DaftarPembeli,SMALL(IF(OrderIDList=$I$2,ROW(DaftarPembeli)-ROW(PartsData!E$2)+1),ROWS(PartsData!E$2:'PartsData'!E132))),"")</f>
        <v/>
      </c>
      <c r="K132" t="str">
        <f ca="1">IF(J132="","",COUNTIF(ListPembeli,"&lt;="&amp;$J132))</f>
        <v/>
      </c>
      <c r="L132" t="str">
        <f ca="1">IF(K132="","",INDEX(ListPembeli,MATCH(ROWS($K$2:$K132),$K$2:$K$101,0)))</f>
        <v/>
      </c>
      <c r="N132" s="1" t="str">
        <f t="array" aca="1" ref="N132" ca="1">IFERROR(INDEX(DaftarPembeli,SMALL(IF(OrderIDList=$M$2,ROW(DaftarPembeli)-ROW(PartsData!I$2)+1),ROWS(PartsData!I$2:'PartsData'!I132))),"")</f>
        <v/>
      </c>
      <c r="O132" t="str">
        <f ca="1">IF(N132="","",COUNTIF(ListCariPembeli,"&lt;="&amp;$N132))</f>
        <v/>
      </c>
      <c r="P132" t="str">
        <f ca="1">IF(O132="","",INDEX(ListCariPembeli,MATCH(ROWS($O$2:$O132),$O$2:$O$201,0)))</f>
        <v/>
      </c>
    </row>
    <row r="133" spans="10:16" x14ac:dyDescent="0.2">
      <c r="J133" t="str">
        <f t="array" aca="1" ref="J133" ca="1">IFERROR(INDEX(DaftarPembeli,SMALL(IF(OrderIDList=$I$2,ROW(DaftarPembeli)-ROW(PartsData!E$2)+1),ROWS(PartsData!E$2:'PartsData'!E133))),"")</f>
        <v/>
      </c>
      <c r="K133" t="str">
        <f ca="1">IF(J133="","",COUNTIF(ListPembeli,"&lt;="&amp;$J133))</f>
        <v/>
      </c>
      <c r="L133" t="str">
        <f ca="1">IF(K133="","",INDEX(ListPembeli,MATCH(ROWS($K$2:$K133),$K$2:$K$101,0)))</f>
        <v/>
      </c>
      <c r="N133" s="1" t="str">
        <f t="array" aca="1" ref="N133" ca="1">IFERROR(INDEX(DaftarPembeli,SMALL(IF(OrderIDList=$M$2,ROW(DaftarPembeli)-ROW(PartsData!I$2)+1),ROWS(PartsData!I$2:'PartsData'!I133))),"")</f>
        <v/>
      </c>
      <c r="O133" t="str">
        <f ca="1">IF(N133="","",COUNTIF(ListCariPembeli,"&lt;="&amp;$N133))</f>
        <v/>
      </c>
      <c r="P133" t="str">
        <f ca="1">IF(O133="","",INDEX(ListCariPembeli,MATCH(ROWS($O$2:$O133),$O$2:$O$201,0)))</f>
        <v/>
      </c>
    </row>
    <row r="134" spans="10:16" x14ac:dyDescent="0.2">
      <c r="J134" t="str">
        <f t="array" aca="1" ref="J134" ca="1">IFERROR(INDEX(DaftarPembeli,SMALL(IF(OrderIDList=$I$2,ROW(DaftarPembeli)-ROW(PartsData!E$2)+1),ROWS(PartsData!E$2:'PartsData'!E134))),"")</f>
        <v/>
      </c>
      <c r="K134" t="str">
        <f ca="1">IF(J134="","",COUNTIF(ListPembeli,"&lt;="&amp;$J134))</f>
        <v/>
      </c>
      <c r="L134" t="str">
        <f ca="1">IF(K134="","",INDEX(ListPembeli,MATCH(ROWS($K$2:$K134),$K$2:$K$101,0)))</f>
        <v/>
      </c>
      <c r="N134" s="1" t="str">
        <f t="array" aca="1" ref="N134" ca="1">IFERROR(INDEX(DaftarPembeli,SMALL(IF(OrderIDList=$M$2,ROW(DaftarPembeli)-ROW(PartsData!I$2)+1),ROWS(PartsData!I$2:'PartsData'!I134))),"")</f>
        <v/>
      </c>
      <c r="O134" t="str">
        <f ca="1">IF(N134="","",COUNTIF(ListCariPembeli,"&lt;="&amp;$N134))</f>
        <v/>
      </c>
      <c r="P134" t="str">
        <f ca="1">IF(O134="","",INDEX(ListCariPembeli,MATCH(ROWS($O$2:$O134),$O$2:$O$201,0)))</f>
        <v/>
      </c>
    </row>
    <row r="135" spans="10:16" x14ac:dyDescent="0.2">
      <c r="J135" t="str">
        <f t="array" aca="1" ref="J135" ca="1">IFERROR(INDEX(DaftarPembeli,SMALL(IF(OrderIDList=$I$2,ROW(DaftarPembeli)-ROW(PartsData!E$2)+1),ROWS(PartsData!E$2:'PartsData'!E135))),"")</f>
        <v/>
      </c>
      <c r="K135" t="str">
        <f ca="1">IF(J135="","",COUNTIF(ListPembeli,"&lt;="&amp;$J135))</f>
        <v/>
      </c>
      <c r="L135" t="str">
        <f ca="1">IF(K135="","",INDEX(ListPembeli,MATCH(ROWS($K$2:$K135),$K$2:$K$101,0)))</f>
        <v/>
      </c>
      <c r="N135" s="1" t="str">
        <f t="array" aca="1" ref="N135" ca="1">IFERROR(INDEX(DaftarPembeli,SMALL(IF(OrderIDList=$M$2,ROW(DaftarPembeli)-ROW(PartsData!I$2)+1),ROWS(PartsData!I$2:'PartsData'!I135))),"")</f>
        <v/>
      </c>
      <c r="O135" t="str">
        <f ca="1">IF(N135="","",COUNTIF(ListCariPembeli,"&lt;="&amp;$N135))</f>
        <v/>
      </c>
      <c r="P135" t="str">
        <f ca="1">IF(O135="","",INDEX(ListCariPembeli,MATCH(ROWS($O$2:$O135),$O$2:$O$201,0)))</f>
        <v/>
      </c>
    </row>
    <row r="136" spans="10:16" x14ac:dyDescent="0.2">
      <c r="J136" t="str">
        <f t="array" aca="1" ref="J136" ca="1">IFERROR(INDEX(DaftarPembeli,SMALL(IF(OrderIDList=$I$2,ROW(DaftarPembeli)-ROW(PartsData!E$2)+1),ROWS(PartsData!E$2:'PartsData'!E136))),"")</f>
        <v/>
      </c>
      <c r="K136" t="str">
        <f ca="1">IF(J136="","",COUNTIF(ListPembeli,"&lt;="&amp;$J136))</f>
        <v/>
      </c>
      <c r="L136" t="str">
        <f ca="1">IF(K136="","",INDEX(ListPembeli,MATCH(ROWS($K$2:$K136),$K$2:$K$101,0)))</f>
        <v/>
      </c>
      <c r="N136" s="1" t="str">
        <f t="array" aca="1" ref="N136" ca="1">IFERROR(INDEX(DaftarPembeli,SMALL(IF(OrderIDList=$M$2,ROW(DaftarPembeli)-ROW(PartsData!I$2)+1),ROWS(PartsData!I$2:'PartsData'!I136))),"")</f>
        <v/>
      </c>
      <c r="O136" t="str">
        <f ca="1">IF(N136="","",COUNTIF(ListCariPembeli,"&lt;="&amp;$N136))</f>
        <v/>
      </c>
      <c r="P136" t="str">
        <f ca="1">IF(O136="","",INDEX(ListCariPembeli,MATCH(ROWS($O$2:$O136),$O$2:$O$201,0)))</f>
        <v/>
      </c>
    </row>
    <row r="137" spans="10:16" x14ac:dyDescent="0.2">
      <c r="J137" t="str">
        <f t="array" aca="1" ref="J137" ca="1">IFERROR(INDEX(DaftarPembeli,SMALL(IF(OrderIDList=$I$2,ROW(DaftarPembeli)-ROW(PartsData!E$2)+1),ROWS(PartsData!E$2:'PartsData'!E137))),"")</f>
        <v/>
      </c>
      <c r="K137" t="str">
        <f ca="1">IF(J137="","",COUNTIF(ListPembeli,"&lt;="&amp;$J137))</f>
        <v/>
      </c>
      <c r="L137" t="str">
        <f ca="1">IF(K137="","",INDEX(ListPembeli,MATCH(ROWS($K$2:$K137),$K$2:$K$101,0)))</f>
        <v/>
      </c>
      <c r="N137" s="1" t="str">
        <f t="array" aca="1" ref="N137" ca="1">IFERROR(INDEX(DaftarPembeli,SMALL(IF(OrderIDList=$M$2,ROW(DaftarPembeli)-ROW(PartsData!I$2)+1),ROWS(PartsData!I$2:'PartsData'!I137))),"")</f>
        <v/>
      </c>
      <c r="O137" t="str">
        <f ca="1">IF(N137="","",COUNTIF(ListCariPembeli,"&lt;="&amp;$N137))</f>
        <v/>
      </c>
      <c r="P137" t="str">
        <f ca="1">IF(O137="","",INDEX(ListCariPembeli,MATCH(ROWS($O$2:$O137),$O$2:$O$201,0)))</f>
        <v/>
      </c>
    </row>
    <row r="138" spans="10:16" x14ac:dyDescent="0.2">
      <c r="J138" t="str">
        <f t="array" aca="1" ref="J138" ca="1">IFERROR(INDEX(DaftarPembeli,SMALL(IF(OrderIDList=$I$2,ROW(DaftarPembeli)-ROW(PartsData!E$2)+1),ROWS(PartsData!E$2:'PartsData'!E138))),"")</f>
        <v/>
      </c>
      <c r="K138" t="str">
        <f ca="1">IF(J138="","",COUNTIF(ListPembeli,"&lt;="&amp;$J138))</f>
        <v/>
      </c>
      <c r="L138" t="str">
        <f ca="1">IF(K138="","",INDEX(ListPembeli,MATCH(ROWS($K$2:$K138),$K$2:$K$101,0)))</f>
        <v/>
      </c>
      <c r="N138" s="1" t="str">
        <f t="array" aca="1" ref="N138" ca="1">IFERROR(INDEX(DaftarPembeli,SMALL(IF(OrderIDList=$M$2,ROW(DaftarPembeli)-ROW(PartsData!I$2)+1),ROWS(PartsData!I$2:'PartsData'!I138))),"")</f>
        <v/>
      </c>
      <c r="O138" t="str">
        <f ca="1">IF(N138="","",COUNTIF(ListCariPembeli,"&lt;="&amp;$N138))</f>
        <v/>
      </c>
      <c r="P138" t="str">
        <f ca="1">IF(O138="","",INDEX(ListCariPembeli,MATCH(ROWS($O$2:$O138),$O$2:$O$201,0)))</f>
        <v/>
      </c>
    </row>
    <row r="139" spans="10:16" x14ac:dyDescent="0.2">
      <c r="J139" t="str">
        <f t="array" aca="1" ref="J139" ca="1">IFERROR(INDEX(DaftarPembeli,SMALL(IF(OrderIDList=$I$2,ROW(DaftarPembeli)-ROW(PartsData!E$2)+1),ROWS(PartsData!E$2:'PartsData'!E139))),"")</f>
        <v/>
      </c>
      <c r="K139" t="str">
        <f ca="1">IF(J139="","",COUNTIF(ListPembeli,"&lt;="&amp;$J139))</f>
        <v/>
      </c>
      <c r="L139" t="str">
        <f ca="1">IF(K139="","",INDEX(ListPembeli,MATCH(ROWS($K$2:$K139),$K$2:$K$101,0)))</f>
        <v/>
      </c>
      <c r="N139" s="1" t="str">
        <f t="array" aca="1" ref="N139" ca="1">IFERROR(INDEX(DaftarPembeli,SMALL(IF(OrderIDList=$M$2,ROW(DaftarPembeli)-ROW(PartsData!I$2)+1),ROWS(PartsData!I$2:'PartsData'!I139))),"")</f>
        <v/>
      </c>
      <c r="O139" t="str">
        <f ca="1">IF(N139="","",COUNTIF(ListCariPembeli,"&lt;="&amp;$N139))</f>
        <v/>
      </c>
      <c r="P139" t="str">
        <f ca="1">IF(O139="","",INDEX(ListCariPembeli,MATCH(ROWS($O$2:$O139),$O$2:$O$201,0)))</f>
        <v/>
      </c>
    </row>
    <row r="140" spans="10:16" x14ac:dyDescent="0.2">
      <c r="J140" t="str">
        <f t="array" aca="1" ref="J140" ca="1">IFERROR(INDEX(DaftarPembeli,SMALL(IF(OrderIDList=$I$2,ROW(DaftarPembeli)-ROW(PartsData!E$2)+1),ROWS(PartsData!E$2:'PartsData'!E140))),"")</f>
        <v/>
      </c>
      <c r="K140" t="str">
        <f ca="1">IF(J140="","",COUNTIF(ListPembeli,"&lt;="&amp;$J140))</f>
        <v/>
      </c>
      <c r="L140" t="str">
        <f ca="1">IF(K140="","",INDEX(ListPembeli,MATCH(ROWS($K$2:$K140),$K$2:$K$101,0)))</f>
        <v/>
      </c>
      <c r="N140" s="1" t="str">
        <f t="array" aca="1" ref="N140" ca="1">IFERROR(INDEX(DaftarPembeli,SMALL(IF(OrderIDList=$M$2,ROW(DaftarPembeli)-ROW(PartsData!I$2)+1),ROWS(PartsData!I$2:'PartsData'!I140))),"")</f>
        <v/>
      </c>
      <c r="O140" t="str">
        <f ca="1">IF(N140="","",COUNTIF(ListCariPembeli,"&lt;="&amp;$N140))</f>
        <v/>
      </c>
      <c r="P140" t="str">
        <f ca="1">IF(O140="","",INDEX(ListCariPembeli,MATCH(ROWS($O$2:$O140),$O$2:$O$201,0)))</f>
        <v/>
      </c>
    </row>
    <row r="141" spans="10:16" x14ac:dyDescent="0.2">
      <c r="J141" t="str">
        <f t="array" aca="1" ref="J141" ca="1">IFERROR(INDEX(DaftarPembeli,SMALL(IF(OrderIDList=$I$2,ROW(DaftarPembeli)-ROW(PartsData!E$2)+1),ROWS(PartsData!E$2:'PartsData'!E141))),"")</f>
        <v/>
      </c>
      <c r="K141" t="str">
        <f ca="1">IF(J141="","",COUNTIF(ListPembeli,"&lt;="&amp;$J141))</f>
        <v/>
      </c>
      <c r="L141" t="str">
        <f ca="1">IF(K141="","",INDEX(ListPembeli,MATCH(ROWS($K$2:$K141),$K$2:$K$101,0)))</f>
        <v/>
      </c>
      <c r="N141" s="1" t="str">
        <f t="array" aca="1" ref="N141" ca="1">IFERROR(INDEX(DaftarPembeli,SMALL(IF(OrderIDList=$M$2,ROW(DaftarPembeli)-ROW(PartsData!I$2)+1),ROWS(PartsData!I$2:'PartsData'!I141))),"")</f>
        <v/>
      </c>
      <c r="O141" t="str">
        <f ca="1">IF(N141="","",COUNTIF(ListCariPembeli,"&lt;="&amp;$N141))</f>
        <v/>
      </c>
      <c r="P141" t="str">
        <f ca="1">IF(O141="","",INDEX(ListCariPembeli,MATCH(ROWS($O$2:$O141),$O$2:$O$201,0)))</f>
        <v/>
      </c>
    </row>
    <row r="142" spans="10:16" x14ac:dyDescent="0.2">
      <c r="J142" t="str">
        <f t="array" aca="1" ref="J142" ca="1">IFERROR(INDEX(DaftarPembeli,SMALL(IF(OrderIDList=$I$2,ROW(DaftarPembeli)-ROW(PartsData!E$2)+1),ROWS(PartsData!E$2:'PartsData'!E142))),"")</f>
        <v/>
      </c>
      <c r="K142" t="str">
        <f ca="1">IF(J142="","",COUNTIF(ListPembeli,"&lt;="&amp;$J142))</f>
        <v/>
      </c>
      <c r="L142" t="str">
        <f ca="1">IF(K142="","",INDEX(ListPembeli,MATCH(ROWS($K$2:$K142),$K$2:$K$101,0)))</f>
        <v/>
      </c>
      <c r="N142" s="1" t="str">
        <f t="array" aca="1" ref="N142" ca="1">IFERROR(INDEX(DaftarPembeli,SMALL(IF(OrderIDList=$M$2,ROW(DaftarPembeli)-ROW(PartsData!I$2)+1),ROWS(PartsData!I$2:'PartsData'!I142))),"")</f>
        <v/>
      </c>
      <c r="O142" t="str">
        <f ca="1">IF(N142="","",COUNTIF(ListCariPembeli,"&lt;="&amp;$N142))</f>
        <v/>
      </c>
      <c r="P142" t="str">
        <f ca="1">IF(O142="","",INDEX(ListCariPembeli,MATCH(ROWS($O$2:$O142),$O$2:$O$201,0)))</f>
        <v/>
      </c>
    </row>
    <row r="143" spans="10:16" x14ac:dyDescent="0.2">
      <c r="J143" t="str">
        <f t="array" aca="1" ref="J143" ca="1">IFERROR(INDEX(DaftarPembeli,SMALL(IF(OrderIDList=$I$2,ROW(DaftarPembeli)-ROW(PartsData!E$2)+1),ROWS(PartsData!E$2:'PartsData'!E143))),"")</f>
        <v/>
      </c>
      <c r="K143" t="str">
        <f ca="1">IF(J143="","",COUNTIF(ListPembeli,"&lt;="&amp;$J143))</f>
        <v/>
      </c>
      <c r="L143" t="str">
        <f ca="1">IF(K143="","",INDEX(ListPembeli,MATCH(ROWS($K$2:$K143),$K$2:$K$101,0)))</f>
        <v/>
      </c>
      <c r="N143" s="1" t="str">
        <f t="array" aca="1" ref="N143" ca="1">IFERROR(INDEX(DaftarPembeli,SMALL(IF(OrderIDList=$M$2,ROW(DaftarPembeli)-ROW(PartsData!I$2)+1),ROWS(PartsData!I$2:'PartsData'!I143))),"")</f>
        <v/>
      </c>
      <c r="O143" t="str">
        <f ca="1">IF(N143="","",COUNTIF(ListCariPembeli,"&lt;="&amp;$N143))</f>
        <v/>
      </c>
      <c r="P143" t="str">
        <f ca="1">IF(O143="","",INDEX(ListCariPembeli,MATCH(ROWS($O$2:$O143),$O$2:$O$201,0)))</f>
        <v/>
      </c>
    </row>
    <row r="144" spans="10:16" x14ac:dyDescent="0.2">
      <c r="J144" t="str">
        <f t="array" aca="1" ref="J144" ca="1">IFERROR(INDEX(DaftarPembeli,SMALL(IF(OrderIDList=$I$2,ROW(DaftarPembeli)-ROW(PartsData!E$2)+1),ROWS(PartsData!E$2:'PartsData'!E144))),"")</f>
        <v/>
      </c>
      <c r="K144" t="str">
        <f ca="1">IF(J144="","",COUNTIF(ListPembeli,"&lt;="&amp;$J144))</f>
        <v/>
      </c>
      <c r="L144" t="str">
        <f ca="1">IF(K144="","",INDEX(ListPembeli,MATCH(ROWS($K$2:$K144),$K$2:$K$101,0)))</f>
        <v/>
      </c>
      <c r="N144" s="1" t="str">
        <f t="array" aca="1" ref="N144" ca="1">IFERROR(INDEX(DaftarPembeli,SMALL(IF(OrderIDList=$M$2,ROW(DaftarPembeli)-ROW(PartsData!I$2)+1),ROWS(PartsData!I$2:'PartsData'!I144))),"")</f>
        <v/>
      </c>
      <c r="O144" t="str">
        <f ca="1">IF(N144="","",COUNTIF(ListCariPembeli,"&lt;="&amp;$N144))</f>
        <v/>
      </c>
      <c r="P144" t="str">
        <f ca="1">IF(O144="","",INDEX(ListCariPembeli,MATCH(ROWS($O$2:$O144),$O$2:$O$201,0)))</f>
        <v/>
      </c>
    </row>
    <row r="145" spans="10:16" x14ac:dyDescent="0.2">
      <c r="J145" t="str">
        <f t="array" aca="1" ref="J145" ca="1">IFERROR(INDEX(DaftarPembeli,SMALL(IF(OrderIDList=$I$2,ROW(DaftarPembeli)-ROW(PartsData!E$2)+1),ROWS(PartsData!E$2:'PartsData'!E145))),"")</f>
        <v/>
      </c>
      <c r="K145" t="str">
        <f ca="1">IF(J145="","",COUNTIF(ListPembeli,"&lt;="&amp;$J145))</f>
        <v/>
      </c>
      <c r="L145" t="str">
        <f ca="1">IF(K145="","",INDEX(ListPembeli,MATCH(ROWS($K$2:$K145),$K$2:$K$101,0)))</f>
        <v/>
      </c>
      <c r="N145" s="1" t="str">
        <f t="array" aca="1" ref="N145" ca="1">IFERROR(INDEX(DaftarPembeli,SMALL(IF(OrderIDList=$M$2,ROW(DaftarPembeli)-ROW(PartsData!I$2)+1),ROWS(PartsData!I$2:'PartsData'!I145))),"")</f>
        <v/>
      </c>
      <c r="O145" t="str">
        <f ca="1">IF(N145="","",COUNTIF(ListCariPembeli,"&lt;="&amp;$N145))</f>
        <v/>
      </c>
      <c r="P145" t="str">
        <f ca="1">IF(O145="","",INDEX(ListCariPembeli,MATCH(ROWS($O$2:$O145),$O$2:$O$201,0)))</f>
        <v/>
      </c>
    </row>
    <row r="146" spans="10:16" x14ac:dyDescent="0.2">
      <c r="J146" t="str">
        <f t="array" aca="1" ref="J146" ca="1">IFERROR(INDEX(DaftarPembeli,SMALL(IF(OrderIDList=$I$2,ROW(DaftarPembeli)-ROW(PartsData!E$2)+1),ROWS(PartsData!E$2:'PartsData'!E146))),"")</f>
        <v/>
      </c>
      <c r="K146" t="str">
        <f ca="1">IF(J146="","",COUNTIF(ListPembeli,"&lt;="&amp;$J146))</f>
        <v/>
      </c>
      <c r="L146" t="str">
        <f ca="1">IF(K146="","",INDEX(ListPembeli,MATCH(ROWS($K$2:$K146),$K$2:$K$101,0)))</f>
        <v/>
      </c>
      <c r="N146" s="1" t="str">
        <f t="array" aca="1" ref="N146" ca="1">IFERROR(INDEX(DaftarPembeli,SMALL(IF(OrderIDList=$M$2,ROW(DaftarPembeli)-ROW(PartsData!I$2)+1),ROWS(PartsData!I$2:'PartsData'!I146))),"")</f>
        <v/>
      </c>
      <c r="O146" t="str">
        <f ca="1">IF(N146="","",COUNTIF(ListCariPembeli,"&lt;="&amp;$N146))</f>
        <v/>
      </c>
      <c r="P146" t="str">
        <f ca="1">IF(O146="","",INDEX(ListCariPembeli,MATCH(ROWS($O$2:$O146),$O$2:$O$201,0)))</f>
        <v/>
      </c>
    </row>
    <row r="147" spans="10:16" x14ac:dyDescent="0.2">
      <c r="J147" t="str">
        <f t="array" aca="1" ref="J147" ca="1">IFERROR(INDEX(DaftarPembeli,SMALL(IF(OrderIDList=$I$2,ROW(DaftarPembeli)-ROW(PartsData!E$2)+1),ROWS(PartsData!E$2:'PartsData'!E147))),"")</f>
        <v/>
      </c>
      <c r="K147" t="str">
        <f ca="1">IF(J147="","",COUNTIF(ListPembeli,"&lt;="&amp;$J147))</f>
        <v/>
      </c>
      <c r="L147" t="str">
        <f ca="1">IF(K147="","",INDEX(ListPembeli,MATCH(ROWS($K$2:$K147),$K$2:$K$101,0)))</f>
        <v/>
      </c>
      <c r="N147" s="1" t="str">
        <f t="array" aca="1" ref="N147" ca="1">IFERROR(INDEX(DaftarPembeli,SMALL(IF(OrderIDList=$M$2,ROW(DaftarPembeli)-ROW(PartsData!I$2)+1),ROWS(PartsData!I$2:'PartsData'!I147))),"")</f>
        <v/>
      </c>
      <c r="O147" t="str">
        <f ca="1">IF(N147="","",COUNTIF(ListCariPembeli,"&lt;="&amp;$N147))</f>
        <v/>
      </c>
      <c r="P147" t="str">
        <f ca="1">IF(O147="","",INDEX(ListCariPembeli,MATCH(ROWS($O$2:$O147),$O$2:$O$201,0)))</f>
        <v/>
      </c>
    </row>
    <row r="148" spans="10:16" x14ac:dyDescent="0.2">
      <c r="J148" t="str">
        <f t="array" aca="1" ref="J148" ca="1">IFERROR(INDEX(DaftarPembeli,SMALL(IF(OrderIDList=$I$2,ROW(DaftarPembeli)-ROW(PartsData!E$2)+1),ROWS(PartsData!E$2:'PartsData'!E148))),"")</f>
        <v/>
      </c>
      <c r="K148" t="str">
        <f ca="1">IF(J148="","",COUNTIF(ListPembeli,"&lt;="&amp;$J148))</f>
        <v/>
      </c>
      <c r="L148" t="str">
        <f ca="1">IF(K148="","",INDEX(ListPembeli,MATCH(ROWS($K$2:$K148),$K$2:$K$101,0)))</f>
        <v/>
      </c>
      <c r="N148" s="1" t="str">
        <f t="array" aca="1" ref="N148" ca="1">IFERROR(INDEX(DaftarPembeli,SMALL(IF(OrderIDList=$M$2,ROW(DaftarPembeli)-ROW(PartsData!I$2)+1),ROWS(PartsData!I$2:'PartsData'!I148))),"")</f>
        <v/>
      </c>
      <c r="O148" t="str">
        <f ca="1">IF(N148="","",COUNTIF(ListCariPembeli,"&lt;="&amp;$N148))</f>
        <v/>
      </c>
      <c r="P148" t="str">
        <f ca="1">IF(O148="","",INDEX(ListCariPembeli,MATCH(ROWS($O$2:$O148),$O$2:$O$201,0)))</f>
        <v/>
      </c>
    </row>
    <row r="149" spans="10:16" x14ac:dyDescent="0.2">
      <c r="J149" t="str">
        <f t="array" aca="1" ref="J149" ca="1">IFERROR(INDEX(DaftarPembeli,SMALL(IF(OrderIDList=$I$2,ROW(DaftarPembeli)-ROW(PartsData!E$2)+1),ROWS(PartsData!E$2:'PartsData'!E149))),"")</f>
        <v/>
      </c>
      <c r="K149" t="str">
        <f ca="1">IF(J149="","",COUNTIF(ListPembeli,"&lt;="&amp;$J149))</f>
        <v/>
      </c>
      <c r="L149" t="str">
        <f ca="1">IF(K149="","",INDEX(ListPembeli,MATCH(ROWS($K$2:$K149),$K$2:$K$101,0)))</f>
        <v/>
      </c>
      <c r="N149" s="1" t="str">
        <f t="array" aca="1" ref="N149" ca="1">IFERROR(INDEX(DaftarPembeli,SMALL(IF(OrderIDList=$M$2,ROW(DaftarPembeli)-ROW(PartsData!I$2)+1),ROWS(PartsData!I$2:'PartsData'!I149))),"")</f>
        <v/>
      </c>
      <c r="O149" t="str">
        <f ca="1">IF(N149="","",COUNTIF(ListCariPembeli,"&lt;="&amp;$N149))</f>
        <v/>
      </c>
      <c r="P149" t="str">
        <f ca="1">IF(O149="","",INDEX(ListCariPembeli,MATCH(ROWS($O$2:$O149),$O$2:$O$201,0)))</f>
        <v/>
      </c>
    </row>
    <row r="150" spans="10:16" x14ac:dyDescent="0.2">
      <c r="J150" t="str">
        <f t="array" aca="1" ref="J150" ca="1">IFERROR(INDEX(DaftarPembeli,SMALL(IF(OrderIDList=$I$2,ROW(DaftarPembeli)-ROW(PartsData!E$2)+1),ROWS(PartsData!E$2:'PartsData'!E150))),"")</f>
        <v/>
      </c>
      <c r="K150" t="str">
        <f ca="1">IF(J150="","",COUNTIF(ListPembeli,"&lt;="&amp;$J150))</f>
        <v/>
      </c>
      <c r="L150" t="str">
        <f ca="1">IF(K150="","",INDEX(ListPembeli,MATCH(ROWS($K$2:$K150),$K$2:$K$101,0)))</f>
        <v/>
      </c>
      <c r="N150" s="1" t="str">
        <f t="array" aca="1" ref="N150" ca="1">IFERROR(INDEX(DaftarPembeli,SMALL(IF(OrderIDList=$M$2,ROW(DaftarPembeli)-ROW(PartsData!I$2)+1),ROWS(PartsData!I$2:'PartsData'!I150))),"")</f>
        <v/>
      </c>
      <c r="O150" t="str">
        <f ca="1">IF(N150="","",COUNTIF(ListCariPembeli,"&lt;="&amp;$N150))</f>
        <v/>
      </c>
      <c r="P150" t="str">
        <f ca="1">IF(O150="","",INDEX(ListCariPembeli,MATCH(ROWS($O$2:$O150),$O$2:$O$201,0)))</f>
        <v/>
      </c>
    </row>
    <row r="151" spans="10:16" x14ac:dyDescent="0.2">
      <c r="J151" t="str">
        <f t="array" aca="1" ref="J151" ca="1">IFERROR(INDEX(DaftarPembeli,SMALL(IF(OrderIDList=$I$2,ROW(DaftarPembeli)-ROW(PartsData!E$2)+1),ROWS(PartsData!E$2:'PartsData'!E151))),"")</f>
        <v/>
      </c>
      <c r="K151" t="str">
        <f ca="1">IF(J151="","",COUNTIF(ListPembeli,"&lt;="&amp;$J151))</f>
        <v/>
      </c>
      <c r="L151" t="str">
        <f ca="1">IF(K151="","",INDEX(ListPembeli,MATCH(ROWS($K$2:$K151),$K$2:$K$101,0)))</f>
        <v/>
      </c>
      <c r="N151" s="1" t="str">
        <f t="array" aca="1" ref="N151" ca="1">IFERROR(INDEX(DaftarPembeli,SMALL(IF(OrderIDList=$M$2,ROW(DaftarPembeli)-ROW(PartsData!I$2)+1),ROWS(PartsData!I$2:'PartsData'!I151))),"")</f>
        <v/>
      </c>
      <c r="O151" t="str">
        <f ca="1">IF(N151="","",COUNTIF(ListCariPembeli,"&lt;="&amp;$N151))</f>
        <v/>
      </c>
      <c r="P151" t="str">
        <f ca="1">IF(O151="","",INDEX(ListCariPembeli,MATCH(ROWS($O$2:$O151),$O$2:$O$201,0)))</f>
        <v/>
      </c>
    </row>
    <row r="152" spans="10:16" x14ac:dyDescent="0.2">
      <c r="J152" t="str">
        <f t="array" aca="1" ref="J152" ca="1">IFERROR(INDEX(DaftarPembeli,SMALL(IF(OrderIDList=$I$2,ROW(DaftarPembeli)-ROW(PartsData!E$2)+1),ROWS(PartsData!E$2:'PartsData'!E152))),"")</f>
        <v/>
      </c>
      <c r="K152" t="str">
        <f ca="1">IF(J152="","",COUNTIF(ListPembeli,"&lt;="&amp;$J152))</f>
        <v/>
      </c>
      <c r="L152" t="str">
        <f ca="1">IF(K152="","",INDEX(ListPembeli,MATCH(ROWS($K$2:$K152),$K$2:$K$101,0)))</f>
        <v/>
      </c>
      <c r="N152" s="1" t="str">
        <f t="array" aca="1" ref="N152" ca="1">IFERROR(INDEX(DaftarPembeli,SMALL(IF(OrderIDList=$M$2,ROW(DaftarPembeli)-ROW(PartsData!I$2)+1),ROWS(PartsData!I$2:'PartsData'!I152))),"")</f>
        <v/>
      </c>
      <c r="O152" t="str">
        <f ca="1">IF(N152="","",COUNTIF(ListCariPembeli,"&lt;="&amp;$N152))</f>
        <v/>
      </c>
      <c r="P152" t="str">
        <f ca="1">IF(O152="","",INDEX(ListCariPembeli,MATCH(ROWS($O$2:$O152),$O$2:$O$201,0)))</f>
        <v/>
      </c>
    </row>
    <row r="153" spans="10:16" x14ac:dyDescent="0.2">
      <c r="J153" t="str">
        <f t="array" aca="1" ref="J153" ca="1">IFERROR(INDEX(DaftarPembeli,SMALL(IF(OrderIDList=$I$2,ROW(DaftarPembeli)-ROW(PartsData!E$2)+1),ROWS(PartsData!E$2:'PartsData'!E153))),"")</f>
        <v/>
      </c>
      <c r="K153" t="str">
        <f ca="1">IF(J153="","",COUNTIF(ListPembeli,"&lt;="&amp;$J153))</f>
        <v/>
      </c>
      <c r="L153" t="str">
        <f ca="1">IF(K153="","",INDEX(ListPembeli,MATCH(ROWS($K$2:$K153),$K$2:$K$101,0)))</f>
        <v/>
      </c>
      <c r="N153" s="1" t="str">
        <f t="array" aca="1" ref="N153" ca="1">IFERROR(INDEX(DaftarPembeli,SMALL(IF(OrderIDList=$M$2,ROW(DaftarPembeli)-ROW(PartsData!I$2)+1),ROWS(PartsData!I$2:'PartsData'!I153))),"")</f>
        <v/>
      </c>
      <c r="O153" t="str">
        <f ca="1">IF(N153="","",COUNTIF(ListCariPembeli,"&lt;="&amp;$N153))</f>
        <v/>
      </c>
      <c r="P153" t="str">
        <f ca="1">IF(O153="","",INDEX(ListCariPembeli,MATCH(ROWS($O$2:$O153),$O$2:$O$201,0)))</f>
        <v/>
      </c>
    </row>
    <row r="154" spans="10:16" x14ac:dyDescent="0.2">
      <c r="J154" t="str">
        <f t="array" aca="1" ref="J154" ca="1">IFERROR(INDEX(DaftarPembeli,SMALL(IF(OrderIDList=$I$2,ROW(DaftarPembeli)-ROW(PartsData!E$2)+1),ROWS(PartsData!E$2:'PartsData'!E154))),"")</f>
        <v/>
      </c>
      <c r="K154" t="str">
        <f ca="1">IF(J154="","",COUNTIF(ListPembeli,"&lt;="&amp;$J154))</f>
        <v/>
      </c>
      <c r="L154" t="str">
        <f ca="1">IF(K154="","",INDEX(ListPembeli,MATCH(ROWS($K$2:$K154),$K$2:$K$101,0)))</f>
        <v/>
      </c>
      <c r="N154" s="1" t="str">
        <f t="array" aca="1" ref="N154" ca="1">IFERROR(INDEX(DaftarPembeli,SMALL(IF(OrderIDList=$M$2,ROW(DaftarPembeli)-ROW(PartsData!I$2)+1),ROWS(PartsData!I$2:'PartsData'!I154))),"")</f>
        <v/>
      </c>
      <c r="O154" t="str">
        <f ca="1">IF(N154="","",COUNTIF(ListCariPembeli,"&lt;="&amp;$N154))</f>
        <v/>
      </c>
      <c r="P154" t="str">
        <f ca="1">IF(O154="","",INDEX(ListCariPembeli,MATCH(ROWS($O$2:$O154),$O$2:$O$201,0)))</f>
        <v/>
      </c>
    </row>
    <row r="155" spans="10:16" x14ac:dyDescent="0.2">
      <c r="J155" t="str">
        <f t="array" aca="1" ref="J155" ca="1">IFERROR(INDEX(DaftarPembeli,SMALL(IF(OrderIDList=$I$2,ROW(DaftarPembeli)-ROW(PartsData!E$2)+1),ROWS(PartsData!E$2:'PartsData'!E155))),"")</f>
        <v/>
      </c>
      <c r="K155" t="str">
        <f ca="1">IF(J155="","",COUNTIF(ListPembeli,"&lt;="&amp;$J155))</f>
        <v/>
      </c>
      <c r="L155" t="str">
        <f ca="1">IF(K155="","",INDEX(ListPembeli,MATCH(ROWS($K$2:$K155),$K$2:$K$101,0)))</f>
        <v/>
      </c>
      <c r="N155" s="1" t="str">
        <f t="array" aca="1" ref="N155" ca="1">IFERROR(INDEX(DaftarPembeli,SMALL(IF(OrderIDList=$M$2,ROW(DaftarPembeli)-ROW(PartsData!I$2)+1),ROWS(PartsData!I$2:'PartsData'!I155))),"")</f>
        <v/>
      </c>
      <c r="O155" t="str">
        <f ca="1">IF(N155="","",COUNTIF(ListCariPembeli,"&lt;="&amp;$N155))</f>
        <v/>
      </c>
      <c r="P155" t="str">
        <f ca="1">IF(O155="","",INDEX(ListCariPembeli,MATCH(ROWS($O$2:$O155),$O$2:$O$201,0)))</f>
        <v/>
      </c>
    </row>
    <row r="156" spans="10:16" x14ac:dyDescent="0.2">
      <c r="J156" t="str">
        <f t="array" aca="1" ref="J156" ca="1">IFERROR(INDEX(DaftarPembeli,SMALL(IF(OrderIDList=$I$2,ROW(DaftarPembeli)-ROW(PartsData!E$2)+1),ROWS(PartsData!E$2:'PartsData'!E156))),"")</f>
        <v/>
      </c>
      <c r="K156" t="str">
        <f ca="1">IF(J156="","",COUNTIF(ListPembeli,"&lt;="&amp;$J156))</f>
        <v/>
      </c>
      <c r="L156" t="str">
        <f ca="1">IF(K156="","",INDEX(ListPembeli,MATCH(ROWS($K$2:$K156),$K$2:$K$101,0)))</f>
        <v/>
      </c>
      <c r="N156" s="1" t="str">
        <f t="array" aca="1" ref="N156" ca="1">IFERROR(INDEX(DaftarPembeli,SMALL(IF(OrderIDList=$M$2,ROW(DaftarPembeli)-ROW(PartsData!I$2)+1),ROWS(PartsData!I$2:'PartsData'!I156))),"")</f>
        <v/>
      </c>
      <c r="O156" t="str">
        <f ca="1">IF(N156="","",COUNTIF(ListCariPembeli,"&lt;="&amp;$N156))</f>
        <v/>
      </c>
      <c r="P156" t="str">
        <f ca="1">IF(O156="","",INDEX(ListCariPembeli,MATCH(ROWS($O$2:$O156),$O$2:$O$201,0)))</f>
        <v/>
      </c>
    </row>
    <row r="157" spans="10:16" x14ac:dyDescent="0.2">
      <c r="J157" t="str">
        <f t="array" aca="1" ref="J157" ca="1">IFERROR(INDEX(DaftarPembeli,SMALL(IF(OrderIDList=$I$2,ROW(DaftarPembeli)-ROW(PartsData!E$2)+1),ROWS(PartsData!E$2:'PartsData'!E157))),"")</f>
        <v/>
      </c>
      <c r="K157" t="str">
        <f ca="1">IF(J157="","",COUNTIF(ListPembeli,"&lt;="&amp;$J157))</f>
        <v/>
      </c>
      <c r="L157" t="str">
        <f ca="1">IF(K157="","",INDEX(ListPembeli,MATCH(ROWS($K$2:$K157),$K$2:$K$101,0)))</f>
        <v/>
      </c>
      <c r="N157" s="1" t="str">
        <f t="array" aca="1" ref="N157" ca="1">IFERROR(INDEX(DaftarPembeli,SMALL(IF(OrderIDList=$M$2,ROW(DaftarPembeli)-ROW(PartsData!I$2)+1),ROWS(PartsData!I$2:'PartsData'!I157))),"")</f>
        <v/>
      </c>
      <c r="O157" t="str">
        <f ca="1">IF(N157="","",COUNTIF(ListCariPembeli,"&lt;="&amp;$N157))</f>
        <v/>
      </c>
      <c r="P157" t="str">
        <f ca="1">IF(O157="","",INDEX(ListCariPembeli,MATCH(ROWS($O$2:$O157),$O$2:$O$201,0)))</f>
        <v/>
      </c>
    </row>
    <row r="158" spans="10:16" x14ac:dyDescent="0.2">
      <c r="J158" t="str">
        <f t="array" aca="1" ref="J158" ca="1">IFERROR(INDEX(DaftarPembeli,SMALL(IF(OrderIDList=$I$2,ROW(DaftarPembeli)-ROW(PartsData!E$2)+1),ROWS(PartsData!E$2:'PartsData'!E158))),"")</f>
        <v/>
      </c>
      <c r="K158" t="str">
        <f ca="1">IF(J158="","",COUNTIF(ListPembeli,"&lt;="&amp;$J158))</f>
        <v/>
      </c>
      <c r="L158" t="str">
        <f ca="1">IF(K158="","",INDEX(ListPembeli,MATCH(ROWS($K$2:$K158),$K$2:$K$101,0)))</f>
        <v/>
      </c>
      <c r="N158" s="1" t="str">
        <f t="array" aca="1" ref="N158" ca="1">IFERROR(INDEX(DaftarPembeli,SMALL(IF(OrderIDList=$M$2,ROW(DaftarPembeli)-ROW(PartsData!I$2)+1),ROWS(PartsData!I$2:'PartsData'!I158))),"")</f>
        <v/>
      </c>
      <c r="O158" t="str">
        <f ca="1">IF(N158="","",COUNTIF(ListCariPembeli,"&lt;="&amp;$N158))</f>
        <v/>
      </c>
      <c r="P158" t="str">
        <f ca="1">IF(O158="","",INDEX(ListCariPembeli,MATCH(ROWS($O$2:$O158),$O$2:$O$201,0)))</f>
        <v/>
      </c>
    </row>
    <row r="159" spans="10:16" x14ac:dyDescent="0.2">
      <c r="J159" t="str">
        <f t="array" aca="1" ref="J159" ca="1">IFERROR(INDEX(DaftarPembeli,SMALL(IF(OrderIDList=$I$2,ROW(DaftarPembeli)-ROW(PartsData!E$2)+1),ROWS(PartsData!E$2:'PartsData'!E159))),"")</f>
        <v/>
      </c>
      <c r="K159" t="str">
        <f ca="1">IF(J159="","",COUNTIF(ListPembeli,"&lt;="&amp;$J159))</f>
        <v/>
      </c>
      <c r="L159" t="str">
        <f ca="1">IF(K159="","",INDEX(ListPembeli,MATCH(ROWS($K$2:$K159),$K$2:$K$101,0)))</f>
        <v/>
      </c>
      <c r="N159" s="1" t="str">
        <f t="array" aca="1" ref="N159" ca="1">IFERROR(INDEX(DaftarPembeli,SMALL(IF(OrderIDList=$M$2,ROW(DaftarPembeli)-ROW(PartsData!I$2)+1),ROWS(PartsData!I$2:'PartsData'!I159))),"")</f>
        <v/>
      </c>
      <c r="O159" t="str">
        <f ca="1">IF(N159="","",COUNTIF(ListCariPembeli,"&lt;="&amp;$N159))</f>
        <v/>
      </c>
      <c r="P159" t="str">
        <f ca="1">IF(O159="","",INDEX(ListCariPembeli,MATCH(ROWS($O$2:$O159),$O$2:$O$201,0)))</f>
        <v/>
      </c>
    </row>
    <row r="160" spans="10:16" x14ac:dyDescent="0.2">
      <c r="J160" t="str">
        <f t="array" aca="1" ref="J160" ca="1">IFERROR(INDEX(DaftarPembeli,SMALL(IF(OrderIDList=$I$2,ROW(DaftarPembeli)-ROW(PartsData!E$2)+1),ROWS(PartsData!E$2:'PartsData'!E160))),"")</f>
        <v/>
      </c>
      <c r="K160" t="str">
        <f ca="1">IF(J160="","",COUNTIF(ListPembeli,"&lt;="&amp;$J160))</f>
        <v/>
      </c>
      <c r="L160" t="str">
        <f ca="1">IF(K160="","",INDEX(ListPembeli,MATCH(ROWS($K$2:$K160),$K$2:$K$101,0)))</f>
        <v/>
      </c>
      <c r="N160" s="1" t="str">
        <f t="array" aca="1" ref="N160" ca="1">IFERROR(INDEX(DaftarPembeli,SMALL(IF(OrderIDList=$M$2,ROW(DaftarPembeli)-ROW(PartsData!I$2)+1),ROWS(PartsData!I$2:'PartsData'!I160))),"")</f>
        <v/>
      </c>
      <c r="O160" t="str">
        <f ca="1">IF(N160="","",COUNTIF(ListCariPembeli,"&lt;="&amp;$N160))</f>
        <v/>
      </c>
      <c r="P160" t="str">
        <f ca="1">IF(O160="","",INDEX(ListCariPembeli,MATCH(ROWS($O$2:$O160),$O$2:$O$201,0)))</f>
        <v/>
      </c>
    </row>
    <row r="161" spans="10:16" x14ac:dyDescent="0.2">
      <c r="J161" t="str">
        <f t="array" aca="1" ref="J161" ca="1">IFERROR(INDEX(DaftarPembeli,SMALL(IF(OrderIDList=$I$2,ROW(DaftarPembeli)-ROW(PartsData!E$2)+1),ROWS(PartsData!E$2:'PartsData'!E161))),"")</f>
        <v/>
      </c>
      <c r="K161" t="str">
        <f ca="1">IF(J161="","",COUNTIF(ListPembeli,"&lt;="&amp;$J161))</f>
        <v/>
      </c>
      <c r="L161" t="str">
        <f ca="1">IF(K161="","",INDEX(ListPembeli,MATCH(ROWS($K$2:$K161),$K$2:$K$101,0)))</f>
        <v/>
      </c>
      <c r="N161" s="1" t="str">
        <f t="array" aca="1" ref="N161" ca="1">IFERROR(INDEX(DaftarPembeli,SMALL(IF(OrderIDList=$M$2,ROW(DaftarPembeli)-ROW(PartsData!I$2)+1),ROWS(PartsData!I$2:'PartsData'!I161))),"")</f>
        <v/>
      </c>
      <c r="O161" t="str">
        <f ca="1">IF(N161="","",COUNTIF(ListCariPembeli,"&lt;="&amp;$N161))</f>
        <v/>
      </c>
      <c r="P161" t="str">
        <f ca="1">IF(O161="","",INDEX(ListCariPembeli,MATCH(ROWS($O$2:$O161),$O$2:$O$201,0)))</f>
        <v/>
      </c>
    </row>
    <row r="162" spans="10:16" x14ac:dyDescent="0.2">
      <c r="J162" t="str">
        <f t="array" aca="1" ref="J162" ca="1">IFERROR(INDEX(DaftarPembeli,SMALL(IF(OrderIDList=$I$2,ROW(DaftarPembeli)-ROW(PartsData!E$2)+1),ROWS(PartsData!E$2:'PartsData'!E162))),"")</f>
        <v/>
      </c>
      <c r="K162" t="str">
        <f ca="1">IF(J162="","",COUNTIF(ListPembeli,"&lt;="&amp;$J162))</f>
        <v/>
      </c>
      <c r="L162" t="str">
        <f ca="1">IF(K162="","",INDEX(ListPembeli,MATCH(ROWS($K$2:$K162),$K$2:$K$101,0)))</f>
        <v/>
      </c>
      <c r="N162" s="1" t="str">
        <f t="array" aca="1" ref="N162" ca="1">IFERROR(INDEX(DaftarPembeli,SMALL(IF(OrderIDList=$M$2,ROW(DaftarPembeli)-ROW(PartsData!I$2)+1),ROWS(PartsData!I$2:'PartsData'!I162))),"")</f>
        <v/>
      </c>
      <c r="O162" t="str">
        <f ca="1">IF(N162="","",COUNTIF(ListCariPembeli,"&lt;="&amp;$N162))</f>
        <v/>
      </c>
      <c r="P162" t="str">
        <f ca="1">IF(O162="","",INDEX(ListCariPembeli,MATCH(ROWS($O$2:$O162),$O$2:$O$201,0)))</f>
        <v/>
      </c>
    </row>
    <row r="163" spans="10:16" x14ac:dyDescent="0.2">
      <c r="J163" t="str">
        <f t="array" aca="1" ref="J163" ca="1">IFERROR(INDEX(DaftarPembeli,SMALL(IF(OrderIDList=$I$2,ROW(DaftarPembeli)-ROW(PartsData!E$2)+1),ROWS(PartsData!E$2:'PartsData'!E163))),"")</f>
        <v/>
      </c>
      <c r="K163" t="str">
        <f ca="1">IF(J163="","",COUNTIF(ListPembeli,"&lt;="&amp;$J163))</f>
        <v/>
      </c>
      <c r="L163" t="str">
        <f ca="1">IF(K163="","",INDEX(ListPembeli,MATCH(ROWS($K$2:$K163),$K$2:$K$101,0)))</f>
        <v/>
      </c>
      <c r="N163" s="1" t="str">
        <f t="array" aca="1" ref="N163" ca="1">IFERROR(INDEX(DaftarPembeli,SMALL(IF(OrderIDList=$M$2,ROW(DaftarPembeli)-ROW(PartsData!I$2)+1),ROWS(PartsData!I$2:'PartsData'!I163))),"")</f>
        <v/>
      </c>
      <c r="O163" t="str">
        <f ca="1">IF(N163="","",COUNTIF(ListCariPembeli,"&lt;="&amp;$N163))</f>
        <v/>
      </c>
      <c r="P163" t="str">
        <f ca="1">IF(O163="","",INDEX(ListCariPembeli,MATCH(ROWS($O$2:$O163),$O$2:$O$201,0)))</f>
        <v/>
      </c>
    </row>
    <row r="164" spans="10:16" x14ac:dyDescent="0.2">
      <c r="J164" t="str">
        <f t="array" aca="1" ref="J164" ca="1">IFERROR(INDEX(DaftarPembeli,SMALL(IF(OrderIDList=$I$2,ROW(DaftarPembeli)-ROW(PartsData!E$2)+1),ROWS(PartsData!E$2:'PartsData'!E164))),"")</f>
        <v/>
      </c>
      <c r="K164" t="str">
        <f ca="1">IF(J164="","",COUNTIF(ListPembeli,"&lt;="&amp;$J164))</f>
        <v/>
      </c>
      <c r="L164" t="str">
        <f ca="1">IF(K164="","",INDEX(ListPembeli,MATCH(ROWS($K$2:$K164),$K$2:$K$101,0)))</f>
        <v/>
      </c>
      <c r="N164" s="1" t="str">
        <f t="array" aca="1" ref="N164" ca="1">IFERROR(INDEX(DaftarPembeli,SMALL(IF(OrderIDList=$M$2,ROW(DaftarPembeli)-ROW(PartsData!I$2)+1),ROWS(PartsData!I$2:'PartsData'!I164))),"")</f>
        <v/>
      </c>
      <c r="O164" t="str">
        <f ca="1">IF(N164="","",COUNTIF(ListCariPembeli,"&lt;="&amp;$N164))</f>
        <v/>
      </c>
      <c r="P164" t="str">
        <f ca="1">IF(O164="","",INDEX(ListCariPembeli,MATCH(ROWS($O$2:$O164),$O$2:$O$201,0)))</f>
        <v/>
      </c>
    </row>
    <row r="165" spans="10:16" x14ac:dyDescent="0.2">
      <c r="J165" t="str">
        <f t="array" aca="1" ref="J165" ca="1">IFERROR(INDEX(DaftarPembeli,SMALL(IF(OrderIDList=$I$2,ROW(DaftarPembeli)-ROW(PartsData!E$2)+1),ROWS(PartsData!E$2:'PartsData'!E165))),"")</f>
        <v/>
      </c>
      <c r="K165" t="str">
        <f ca="1">IF(J165="","",COUNTIF(ListPembeli,"&lt;="&amp;$J165))</f>
        <v/>
      </c>
      <c r="L165" t="str">
        <f ca="1">IF(K165="","",INDEX(ListPembeli,MATCH(ROWS($K$2:$K165),$K$2:$K$101,0)))</f>
        <v/>
      </c>
      <c r="N165" s="1" t="str">
        <f t="array" aca="1" ref="N165" ca="1">IFERROR(INDEX(DaftarPembeli,SMALL(IF(OrderIDList=$M$2,ROW(DaftarPembeli)-ROW(PartsData!I$2)+1),ROWS(PartsData!I$2:'PartsData'!I165))),"")</f>
        <v/>
      </c>
      <c r="O165" t="str">
        <f ca="1">IF(N165="","",COUNTIF(ListCariPembeli,"&lt;="&amp;$N165))</f>
        <v/>
      </c>
      <c r="P165" t="str">
        <f ca="1">IF(O165="","",INDEX(ListCariPembeli,MATCH(ROWS($O$2:$O165),$O$2:$O$201,0)))</f>
        <v/>
      </c>
    </row>
    <row r="166" spans="10:16" x14ac:dyDescent="0.2">
      <c r="J166" t="str">
        <f t="array" aca="1" ref="J166" ca="1">IFERROR(INDEX(DaftarPembeli,SMALL(IF(OrderIDList=$I$2,ROW(DaftarPembeli)-ROW(PartsData!E$2)+1),ROWS(PartsData!E$2:'PartsData'!E166))),"")</f>
        <v/>
      </c>
      <c r="K166" t="str">
        <f ca="1">IF(J166="","",COUNTIF(ListPembeli,"&lt;="&amp;$J166))</f>
        <v/>
      </c>
      <c r="L166" t="str">
        <f ca="1">IF(K166="","",INDEX(ListPembeli,MATCH(ROWS($K$2:$K166),$K$2:$K$101,0)))</f>
        <v/>
      </c>
      <c r="N166" s="1" t="str">
        <f t="array" aca="1" ref="N166" ca="1">IFERROR(INDEX(DaftarPembeli,SMALL(IF(OrderIDList=$M$2,ROW(DaftarPembeli)-ROW(PartsData!I$2)+1),ROWS(PartsData!I$2:'PartsData'!I166))),"")</f>
        <v/>
      </c>
      <c r="O166" t="str">
        <f ca="1">IF(N166="","",COUNTIF(ListCariPembeli,"&lt;="&amp;$N166))</f>
        <v/>
      </c>
      <c r="P166" t="str">
        <f ca="1">IF(O166="","",INDEX(ListCariPembeli,MATCH(ROWS($O$2:$O166),$O$2:$O$201,0)))</f>
        <v/>
      </c>
    </row>
    <row r="167" spans="10:16" x14ac:dyDescent="0.2">
      <c r="J167" t="str">
        <f t="array" aca="1" ref="J167" ca="1">IFERROR(INDEX(DaftarPembeli,SMALL(IF(OrderIDList=$I$2,ROW(DaftarPembeli)-ROW(PartsData!E$2)+1),ROWS(PartsData!E$2:'PartsData'!E167))),"")</f>
        <v/>
      </c>
      <c r="K167" t="str">
        <f ca="1">IF(J167="","",COUNTIF(ListPembeli,"&lt;="&amp;$J167))</f>
        <v/>
      </c>
      <c r="L167" t="str">
        <f ca="1">IF(K167="","",INDEX(ListPembeli,MATCH(ROWS($K$2:$K167),$K$2:$K$101,0)))</f>
        <v/>
      </c>
      <c r="N167" s="1" t="str">
        <f t="array" aca="1" ref="N167" ca="1">IFERROR(INDEX(DaftarPembeli,SMALL(IF(OrderIDList=$M$2,ROW(DaftarPembeli)-ROW(PartsData!I$2)+1),ROWS(PartsData!I$2:'PartsData'!I167))),"")</f>
        <v/>
      </c>
      <c r="O167" t="str">
        <f ca="1">IF(N167="","",COUNTIF(ListCariPembeli,"&lt;="&amp;$N167))</f>
        <v/>
      </c>
      <c r="P167" t="str">
        <f ca="1">IF(O167="","",INDEX(ListCariPembeli,MATCH(ROWS($O$2:$O167),$O$2:$O$201,0)))</f>
        <v/>
      </c>
    </row>
    <row r="168" spans="10:16" x14ac:dyDescent="0.2">
      <c r="J168" t="str">
        <f t="array" aca="1" ref="J168" ca="1">IFERROR(INDEX(DaftarPembeli,SMALL(IF(OrderIDList=$I$2,ROW(DaftarPembeli)-ROW(PartsData!E$2)+1),ROWS(PartsData!E$2:'PartsData'!E168))),"")</f>
        <v/>
      </c>
      <c r="K168" t="str">
        <f ca="1">IF(J168="","",COUNTIF(ListPembeli,"&lt;="&amp;$J168))</f>
        <v/>
      </c>
      <c r="L168" t="str">
        <f ca="1">IF(K168="","",INDEX(ListPembeli,MATCH(ROWS($K$2:$K168),$K$2:$K$101,0)))</f>
        <v/>
      </c>
      <c r="N168" s="1" t="str">
        <f t="array" aca="1" ref="N168" ca="1">IFERROR(INDEX(DaftarPembeli,SMALL(IF(OrderIDList=$M$2,ROW(DaftarPembeli)-ROW(PartsData!I$2)+1),ROWS(PartsData!I$2:'PartsData'!I168))),"")</f>
        <v/>
      </c>
      <c r="O168" t="str">
        <f ca="1">IF(N168="","",COUNTIF(ListCariPembeli,"&lt;="&amp;$N168))</f>
        <v/>
      </c>
      <c r="P168" t="str">
        <f ca="1">IF(O168="","",INDEX(ListCariPembeli,MATCH(ROWS($O$2:$O168),$O$2:$O$201,0)))</f>
        <v/>
      </c>
    </row>
    <row r="169" spans="10:16" x14ac:dyDescent="0.2">
      <c r="J169" t="str">
        <f t="array" aca="1" ref="J169" ca="1">IFERROR(INDEX(DaftarPembeli,SMALL(IF(OrderIDList=$I$2,ROW(DaftarPembeli)-ROW(PartsData!E$2)+1),ROWS(PartsData!E$2:'PartsData'!E169))),"")</f>
        <v/>
      </c>
      <c r="K169" t="str">
        <f ca="1">IF(J169="","",COUNTIF(ListPembeli,"&lt;="&amp;$J169))</f>
        <v/>
      </c>
      <c r="L169" t="str">
        <f ca="1">IF(K169="","",INDEX(ListPembeli,MATCH(ROWS($K$2:$K169),$K$2:$K$101,0)))</f>
        <v/>
      </c>
      <c r="N169" s="1" t="str">
        <f t="array" aca="1" ref="N169" ca="1">IFERROR(INDEX(DaftarPembeli,SMALL(IF(OrderIDList=$M$2,ROW(DaftarPembeli)-ROW(PartsData!I$2)+1),ROWS(PartsData!I$2:'PartsData'!I169))),"")</f>
        <v/>
      </c>
      <c r="O169" t="str">
        <f ca="1">IF(N169="","",COUNTIF(ListCariPembeli,"&lt;="&amp;$N169))</f>
        <v/>
      </c>
      <c r="P169" t="str">
        <f ca="1">IF(O169="","",INDEX(ListCariPembeli,MATCH(ROWS($O$2:$O169),$O$2:$O$201,0)))</f>
        <v/>
      </c>
    </row>
    <row r="170" spans="10:16" x14ac:dyDescent="0.2">
      <c r="J170" t="str">
        <f t="array" aca="1" ref="J170" ca="1">IFERROR(INDEX(DaftarPembeli,SMALL(IF(OrderIDList=$I$2,ROW(DaftarPembeli)-ROW(PartsData!E$2)+1),ROWS(PartsData!E$2:'PartsData'!E170))),"")</f>
        <v/>
      </c>
      <c r="K170" t="str">
        <f ca="1">IF(J170="","",COUNTIF(ListPembeli,"&lt;="&amp;$J170))</f>
        <v/>
      </c>
      <c r="L170" t="str">
        <f ca="1">IF(K170="","",INDEX(ListPembeli,MATCH(ROWS($K$2:$K170),$K$2:$K$101,0)))</f>
        <v/>
      </c>
      <c r="N170" s="1" t="str">
        <f t="array" aca="1" ref="N170" ca="1">IFERROR(INDEX(DaftarPembeli,SMALL(IF(OrderIDList=$M$2,ROW(DaftarPembeli)-ROW(PartsData!I$2)+1),ROWS(PartsData!I$2:'PartsData'!I170))),"")</f>
        <v/>
      </c>
      <c r="O170" t="str">
        <f ca="1">IF(N170="","",COUNTIF(ListCariPembeli,"&lt;="&amp;$N170))</f>
        <v/>
      </c>
      <c r="P170" t="str">
        <f ca="1">IF(O170="","",INDEX(ListCariPembeli,MATCH(ROWS($O$2:$O170),$O$2:$O$201,0)))</f>
        <v/>
      </c>
    </row>
    <row r="171" spans="10:16" x14ac:dyDescent="0.2">
      <c r="J171" t="str">
        <f t="array" aca="1" ref="J171" ca="1">IFERROR(INDEX(DaftarPembeli,SMALL(IF(OrderIDList=$I$2,ROW(DaftarPembeli)-ROW(PartsData!E$2)+1),ROWS(PartsData!E$2:'PartsData'!E171))),"")</f>
        <v/>
      </c>
      <c r="K171" t="str">
        <f ca="1">IF(J171="","",COUNTIF(ListPembeli,"&lt;="&amp;$J171))</f>
        <v/>
      </c>
      <c r="L171" t="str">
        <f ca="1">IF(K171="","",INDEX(ListPembeli,MATCH(ROWS($K$2:$K171),$K$2:$K$101,0)))</f>
        <v/>
      </c>
      <c r="N171" s="1" t="str">
        <f t="array" aca="1" ref="N171" ca="1">IFERROR(INDEX(DaftarPembeli,SMALL(IF(OrderIDList=$M$2,ROW(DaftarPembeli)-ROW(PartsData!I$2)+1),ROWS(PartsData!I$2:'PartsData'!I171))),"")</f>
        <v/>
      </c>
      <c r="O171" t="str">
        <f ca="1">IF(N171="","",COUNTIF(ListCariPembeli,"&lt;="&amp;$N171))</f>
        <v/>
      </c>
      <c r="P171" t="str">
        <f ca="1">IF(O171="","",INDEX(ListCariPembeli,MATCH(ROWS($O$2:$O171),$O$2:$O$201,0)))</f>
        <v/>
      </c>
    </row>
    <row r="172" spans="10:16" x14ac:dyDescent="0.2">
      <c r="J172" t="str">
        <f t="array" aca="1" ref="J172" ca="1">IFERROR(INDEX(DaftarPembeli,SMALL(IF(OrderIDList=$I$2,ROW(DaftarPembeli)-ROW(PartsData!E$2)+1),ROWS(PartsData!E$2:'PartsData'!E172))),"")</f>
        <v/>
      </c>
      <c r="K172" t="str">
        <f ca="1">IF(J172="","",COUNTIF(ListPembeli,"&lt;="&amp;$J172))</f>
        <v/>
      </c>
      <c r="L172" t="str">
        <f ca="1">IF(K172="","",INDEX(ListPembeli,MATCH(ROWS($K$2:$K172),$K$2:$K$101,0)))</f>
        <v/>
      </c>
      <c r="N172" s="1" t="str">
        <f t="array" aca="1" ref="N172" ca="1">IFERROR(INDEX(DaftarPembeli,SMALL(IF(OrderIDList=$M$2,ROW(DaftarPembeli)-ROW(PartsData!I$2)+1),ROWS(PartsData!I$2:'PartsData'!I172))),"")</f>
        <v/>
      </c>
      <c r="O172" t="str">
        <f ca="1">IF(N172="","",COUNTIF(ListCariPembeli,"&lt;="&amp;$N172))</f>
        <v/>
      </c>
      <c r="P172" t="str">
        <f ca="1">IF(O172="","",INDEX(ListCariPembeli,MATCH(ROWS($O$2:$O172),$O$2:$O$201,0)))</f>
        <v/>
      </c>
    </row>
    <row r="173" spans="10:16" x14ac:dyDescent="0.2">
      <c r="J173" t="str">
        <f t="array" aca="1" ref="J173" ca="1">IFERROR(INDEX(DaftarPembeli,SMALL(IF(OrderIDList=$I$2,ROW(DaftarPembeli)-ROW(PartsData!E$2)+1),ROWS(PartsData!E$2:'PartsData'!E173))),"")</f>
        <v/>
      </c>
      <c r="K173" t="str">
        <f ca="1">IF(J173="","",COUNTIF(ListPembeli,"&lt;="&amp;$J173))</f>
        <v/>
      </c>
      <c r="L173" t="str">
        <f ca="1">IF(K173="","",INDEX(ListPembeli,MATCH(ROWS($K$2:$K173),$K$2:$K$101,0)))</f>
        <v/>
      </c>
      <c r="N173" s="1" t="str">
        <f t="array" aca="1" ref="N173" ca="1">IFERROR(INDEX(DaftarPembeli,SMALL(IF(OrderIDList=$M$2,ROW(DaftarPembeli)-ROW(PartsData!I$2)+1),ROWS(PartsData!I$2:'PartsData'!I173))),"")</f>
        <v/>
      </c>
      <c r="O173" t="str">
        <f ca="1">IF(N173="","",COUNTIF(ListCariPembeli,"&lt;="&amp;$N173))</f>
        <v/>
      </c>
      <c r="P173" t="str">
        <f ca="1">IF(O173="","",INDEX(ListCariPembeli,MATCH(ROWS($O$2:$O173),$O$2:$O$201,0)))</f>
        <v/>
      </c>
    </row>
    <row r="174" spans="10:16" x14ac:dyDescent="0.2">
      <c r="J174" t="str">
        <f t="array" aca="1" ref="J174" ca="1">IFERROR(INDEX(DaftarPembeli,SMALL(IF(OrderIDList=$I$2,ROW(DaftarPembeli)-ROW(PartsData!E$2)+1),ROWS(PartsData!E$2:'PartsData'!E174))),"")</f>
        <v/>
      </c>
      <c r="K174" t="str">
        <f ca="1">IF(J174="","",COUNTIF(ListPembeli,"&lt;="&amp;$J174))</f>
        <v/>
      </c>
      <c r="L174" t="str">
        <f ca="1">IF(K174="","",INDEX(ListPembeli,MATCH(ROWS($K$2:$K174),$K$2:$K$101,0)))</f>
        <v/>
      </c>
      <c r="N174" s="1" t="str">
        <f t="array" aca="1" ref="N174" ca="1">IFERROR(INDEX(DaftarPembeli,SMALL(IF(OrderIDList=$M$2,ROW(DaftarPembeli)-ROW(PartsData!I$2)+1),ROWS(PartsData!I$2:'PartsData'!I174))),"")</f>
        <v/>
      </c>
      <c r="O174" t="str">
        <f ca="1">IF(N174="","",COUNTIF(ListCariPembeli,"&lt;="&amp;$N174))</f>
        <v/>
      </c>
      <c r="P174" t="str">
        <f ca="1">IF(O174="","",INDEX(ListCariPembeli,MATCH(ROWS($O$2:$O174),$O$2:$O$201,0)))</f>
        <v/>
      </c>
    </row>
    <row r="175" spans="10:16" x14ac:dyDescent="0.2">
      <c r="J175" t="str">
        <f t="array" aca="1" ref="J175" ca="1">IFERROR(INDEX(DaftarPembeli,SMALL(IF(OrderIDList=$I$2,ROW(DaftarPembeli)-ROW(PartsData!E$2)+1),ROWS(PartsData!E$2:'PartsData'!E175))),"")</f>
        <v/>
      </c>
      <c r="K175" t="str">
        <f ca="1">IF(J175="","",COUNTIF(ListPembeli,"&lt;="&amp;$J175))</f>
        <v/>
      </c>
      <c r="L175" t="str">
        <f ca="1">IF(K175="","",INDEX(ListPembeli,MATCH(ROWS($K$2:$K175),$K$2:$K$101,0)))</f>
        <v/>
      </c>
      <c r="N175" s="1" t="str">
        <f t="array" aca="1" ref="N175" ca="1">IFERROR(INDEX(DaftarPembeli,SMALL(IF(OrderIDList=$M$2,ROW(DaftarPembeli)-ROW(PartsData!I$2)+1),ROWS(PartsData!I$2:'PartsData'!I175))),"")</f>
        <v/>
      </c>
      <c r="O175" t="str">
        <f ca="1">IF(N175="","",COUNTIF(ListCariPembeli,"&lt;="&amp;$N175))</f>
        <v/>
      </c>
      <c r="P175" t="str">
        <f ca="1">IF(O175="","",INDEX(ListCariPembeli,MATCH(ROWS($O$2:$O175),$O$2:$O$201,0)))</f>
        <v/>
      </c>
    </row>
    <row r="176" spans="10:16" x14ac:dyDescent="0.2">
      <c r="J176" t="str">
        <f t="array" aca="1" ref="J176" ca="1">IFERROR(INDEX(DaftarPembeli,SMALL(IF(OrderIDList=$I$2,ROW(DaftarPembeli)-ROW(PartsData!E$2)+1),ROWS(PartsData!E$2:'PartsData'!E176))),"")</f>
        <v/>
      </c>
      <c r="K176" t="str">
        <f ca="1">IF(J176="","",COUNTIF(ListPembeli,"&lt;="&amp;$J176))</f>
        <v/>
      </c>
      <c r="L176" t="str">
        <f ca="1">IF(K176="","",INDEX(ListPembeli,MATCH(ROWS($K$2:$K176),$K$2:$K$101,0)))</f>
        <v/>
      </c>
      <c r="N176" s="1" t="str">
        <f t="array" aca="1" ref="N176" ca="1">IFERROR(INDEX(DaftarPembeli,SMALL(IF(OrderIDList=$M$2,ROW(DaftarPembeli)-ROW(PartsData!I$2)+1),ROWS(PartsData!I$2:'PartsData'!I176))),"")</f>
        <v/>
      </c>
      <c r="O176" t="str">
        <f ca="1">IF(N176="","",COUNTIF(ListCariPembeli,"&lt;="&amp;$N176))</f>
        <v/>
      </c>
      <c r="P176" t="str">
        <f ca="1">IF(O176="","",INDEX(ListCariPembeli,MATCH(ROWS($O$2:$O176),$O$2:$O$201,0)))</f>
        <v/>
      </c>
    </row>
    <row r="177" spans="10:16" x14ac:dyDescent="0.2">
      <c r="J177" t="str">
        <f t="array" aca="1" ref="J177" ca="1">IFERROR(INDEX(DaftarPembeli,SMALL(IF(OrderIDList=$I$2,ROW(DaftarPembeli)-ROW(PartsData!E$2)+1),ROWS(PartsData!E$2:'PartsData'!E177))),"")</f>
        <v/>
      </c>
      <c r="K177" t="str">
        <f ca="1">IF(J177="","",COUNTIF(ListPembeli,"&lt;="&amp;$J177))</f>
        <v/>
      </c>
      <c r="L177" t="str">
        <f ca="1">IF(K177="","",INDEX(ListPembeli,MATCH(ROWS($K$2:$K177),$K$2:$K$101,0)))</f>
        <v/>
      </c>
      <c r="N177" s="1" t="str">
        <f t="array" aca="1" ref="N177" ca="1">IFERROR(INDEX(DaftarPembeli,SMALL(IF(OrderIDList=$M$2,ROW(DaftarPembeli)-ROW(PartsData!I$2)+1),ROWS(PartsData!I$2:'PartsData'!I177))),"")</f>
        <v/>
      </c>
      <c r="O177" t="str">
        <f ca="1">IF(N177="","",COUNTIF(ListCariPembeli,"&lt;="&amp;$N177))</f>
        <v/>
      </c>
      <c r="P177" t="str">
        <f ca="1">IF(O177="","",INDEX(ListCariPembeli,MATCH(ROWS($O$2:$O177),$O$2:$O$201,0)))</f>
        <v/>
      </c>
    </row>
    <row r="178" spans="10:16" x14ac:dyDescent="0.2">
      <c r="J178" t="str">
        <f t="array" aca="1" ref="J178" ca="1">IFERROR(INDEX(DaftarPembeli,SMALL(IF(OrderIDList=$I$2,ROW(DaftarPembeli)-ROW(PartsData!E$2)+1),ROWS(PartsData!E$2:'PartsData'!E178))),"")</f>
        <v/>
      </c>
      <c r="K178" t="str">
        <f ca="1">IF(J178="","",COUNTIF(ListPembeli,"&lt;="&amp;$J178))</f>
        <v/>
      </c>
      <c r="L178" t="str">
        <f ca="1">IF(K178="","",INDEX(ListPembeli,MATCH(ROWS($K$2:$K178),$K$2:$K$101,0)))</f>
        <v/>
      </c>
      <c r="N178" s="1" t="str">
        <f t="array" aca="1" ref="N178" ca="1">IFERROR(INDEX(DaftarPembeli,SMALL(IF(OrderIDList=$M$2,ROW(DaftarPembeli)-ROW(PartsData!I$2)+1),ROWS(PartsData!I$2:'PartsData'!I178))),"")</f>
        <v/>
      </c>
      <c r="O178" t="str">
        <f ca="1">IF(N178="","",COUNTIF(ListCariPembeli,"&lt;="&amp;$N178))</f>
        <v/>
      </c>
      <c r="P178" t="str">
        <f ca="1">IF(O178="","",INDEX(ListCariPembeli,MATCH(ROWS($O$2:$O178),$O$2:$O$201,0)))</f>
        <v/>
      </c>
    </row>
    <row r="179" spans="10:16" x14ac:dyDescent="0.2">
      <c r="J179" t="str">
        <f t="array" aca="1" ref="J179" ca="1">IFERROR(INDEX(DaftarPembeli,SMALL(IF(OrderIDList=$I$2,ROW(DaftarPembeli)-ROW(PartsData!E$2)+1),ROWS(PartsData!E$2:'PartsData'!E179))),"")</f>
        <v/>
      </c>
      <c r="K179" t="str">
        <f ca="1">IF(J179="","",COUNTIF(ListPembeli,"&lt;="&amp;$J179))</f>
        <v/>
      </c>
      <c r="L179" t="str">
        <f ca="1">IF(K179="","",INDEX(ListPembeli,MATCH(ROWS($K$2:$K179),$K$2:$K$101,0)))</f>
        <v/>
      </c>
      <c r="N179" s="1" t="str">
        <f t="array" aca="1" ref="N179" ca="1">IFERROR(INDEX(DaftarPembeli,SMALL(IF(OrderIDList=$M$2,ROW(DaftarPembeli)-ROW(PartsData!I$2)+1),ROWS(PartsData!I$2:'PartsData'!I179))),"")</f>
        <v/>
      </c>
      <c r="O179" t="str">
        <f ca="1">IF(N179="","",COUNTIF(ListCariPembeli,"&lt;="&amp;$N179))</f>
        <v/>
      </c>
      <c r="P179" t="str">
        <f ca="1">IF(O179="","",INDEX(ListCariPembeli,MATCH(ROWS($O$2:$O179),$O$2:$O$201,0)))</f>
        <v/>
      </c>
    </row>
    <row r="180" spans="10:16" x14ac:dyDescent="0.2">
      <c r="J180" t="str">
        <f t="array" aca="1" ref="J180" ca="1">IFERROR(INDEX(DaftarPembeli,SMALL(IF(OrderIDList=$I$2,ROW(DaftarPembeli)-ROW(PartsData!E$2)+1),ROWS(PartsData!E$2:'PartsData'!E180))),"")</f>
        <v/>
      </c>
      <c r="K180" t="str">
        <f ca="1">IF(J180="","",COUNTIF(ListPembeli,"&lt;="&amp;$J180))</f>
        <v/>
      </c>
      <c r="L180" t="str">
        <f ca="1">IF(K180="","",INDEX(ListPembeli,MATCH(ROWS($K$2:$K180),$K$2:$K$101,0)))</f>
        <v/>
      </c>
      <c r="N180" s="1" t="str">
        <f t="array" aca="1" ref="N180" ca="1">IFERROR(INDEX(DaftarPembeli,SMALL(IF(OrderIDList=$M$2,ROW(DaftarPembeli)-ROW(PartsData!I$2)+1),ROWS(PartsData!I$2:'PartsData'!I180))),"")</f>
        <v/>
      </c>
      <c r="O180" t="str">
        <f ca="1">IF(N180="","",COUNTIF(ListCariPembeli,"&lt;="&amp;$N180))</f>
        <v/>
      </c>
      <c r="P180" t="str">
        <f ca="1">IF(O180="","",INDEX(ListCariPembeli,MATCH(ROWS($O$2:$O180),$O$2:$O$201,0)))</f>
        <v/>
      </c>
    </row>
    <row r="181" spans="10:16" x14ac:dyDescent="0.2">
      <c r="J181" t="str">
        <f t="array" aca="1" ref="J181" ca="1">IFERROR(INDEX(DaftarPembeli,SMALL(IF(OrderIDList=$I$2,ROW(DaftarPembeli)-ROW(PartsData!E$2)+1),ROWS(PartsData!E$2:'PartsData'!E181))),"")</f>
        <v/>
      </c>
      <c r="K181" t="str">
        <f ca="1">IF(J181="","",COUNTIF(ListPembeli,"&lt;="&amp;$J181))</f>
        <v/>
      </c>
      <c r="L181" t="str">
        <f ca="1">IF(K181="","",INDEX(ListPembeli,MATCH(ROWS($K$2:$K181),$K$2:$K$101,0)))</f>
        <v/>
      </c>
      <c r="N181" s="1" t="str">
        <f t="array" aca="1" ref="N181" ca="1">IFERROR(INDEX(DaftarPembeli,SMALL(IF(OrderIDList=$M$2,ROW(DaftarPembeli)-ROW(PartsData!I$2)+1),ROWS(PartsData!I$2:'PartsData'!I181))),"")</f>
        <v/>
      </c>
      <c r="O181" t="str">
        <f ca="1">IF(N181="","",COUNTIF(ListCariPembeli,"&lt;="&amp;$N181))</f>
        <v/>
      </c>
      <c r="P181" t="str">
        <f ca="1">IF(O181="","",INDEX(ListCariPembeli,MATCH(ROWS($O$2:$O181),$O$2:$O$201,0)))</f>
        <v/>
      </c>
    </row>
    <row r="182" spans="10:16" x14ac:dyDescent="0.2">
      <c r="J182" t="str">
        <f t="array" aca="1" ref="J182" ca="1">IFERROR(INDEX(DaftarPembeli,SMALL(IF(OrderIDList=$I$2,ROW(DaftarPembeli)-ROW(PartsData!E$2)+1),ROWS(PartsData!E$2:'PartsData'!E182))),"")</f>
        <v/>
      </c>
      <c r="K182" t="str">
        <f ca="1">IF(J182="","",COUNTIF(ListPembeli,"&lt;="&amp;$J182))</f>
        <v/>
      </c>
      <c r="L182" t="str">
        <f ca="1">IF(K182="","",INDEX(ListPembeli,MATCH(ROWS($K$2:$K182),$K$2:$K$101,0)))</f>
        <v/>
      </c>
      <c r="N182" s="1" t="str">
        <f t="array" aca="1" ref="N182" ca="1">IFERROR(INDEX(DaftarPembeli,SMALL(IF(OrderIDList=$M$2,ROW(DaftarPembeli)-ROW(PartsData!I$2)+1),ROWS(PartsData!I$2:'PartsData'!I182))),"")</f>
        <v/>
      </c>
      <c r="O182" t="str">
        <f ca="1">IF(N182="","",COUNTIF(ListCariPembeli,"&lt;="&amp;$N182))</f>
        <v/>
      </c>
      <c r="P182" t="str">
        <f ca="1">IF(O182="","",INDEX(ListCariPembeli,MATCH(ROWS($O$2:$O182),$O$2:$O$201,0)))</f>
        <v/>
      </c>
    </row>
    <row r="183" spans="10:16" x14ac:dyDescent="0.2">
      <c r="J183" t="str">
        <f t="array" aca="1" ref="J183" ca="1">IFERROR(INDEX(DaftarPembeli,SMALL(IF(OrderIDList=$I$2,ROW(DaftarPembeli)-ROW(PartsData!E$2)+1),ROWS(PartsData!E$2:'PartsData'!E183))),"")</f>
        <v/>
      </c>
      <c r="K183" t="str">
        <f ca="1">IF(J183="","",COUNTIF(ListPembeli,"&lt;="&amp;$J183))</f>
        <v/>
      </c>
      <c r="L183" t="str">
        <f ca="1">IF(K183="","",INDEX(ListPembeli,MATCH(ROWS($K$2:$K183),$K$2:$K$101,0)))</f>
        <v/>
      </c>
      <c r="N183" s="1" t="str">
        <f t="array" aca="1" ref="N183" ca="1">IFERROR(INDEX(DaftarPembeli,SMALL(IF(OrderIDList=$M$2,ROW(DaftarPembeli)-ROW(PartsData!I$2)+1),ROWS(PartsData!I$2:'PartsData'!I183))),"")</f>
        <v/>
      </c>
      <c r="O183" t="str">
        <f ca="1">IF(N183="","",COUNTIF(ListCariPembeli,"&lt;="&amp;$N183))</f>
        <v/>
      </c>
      <c r="P183" t="str">
        <f ca="1">IF(O183="","",INDEX(ListCariPembeli,MATCH(ROWS($O$2:$O183),$O$2:$O$201,0)))</f>
        <v/>
      </c>
    </row>
    <row r="184" spans="10:16" x14ac:dyDescent="0.2">
      <c r="J184" t="str">
        <f t="array" aca="1" ref="J184" ca="1">IFERROR(INDEX(DaftarPembeli,SMALL(IF(OrderIDList=$I$2,ROW(DaftarPembeli)-ROW(PartsData!E$2)+1),ROWS(PartsData!E$2:'PartsData'!E184))),"")</f>
        <v/>
      </c>
      <c r="K184" t="str">
        <f ca="1">IF(J184="","",COUNTIF(ListPembeli,"&lt;="&amp;$J184))</f>
        <v/>
      </c>
      <c r="L184" t="str">
        <f ca="1">IF(K184="","",INDEX(ListPembeli,MATCH(ROWS($K$2:$K184),$K$2:$K$101,0)))</f>
        <v/>
      </c>
      <c r="N184" s="1" t="str">
        <f t="array" aca="1" ref="N184" ca="1">IFERROR(INDEX(DaftarPembeli,SMALL(IF(OrderIDList=$M$2,ROW(DaftarPembeli)-ROW(PartsData!I$2)+1),ROWS(PartsData!I$2:'PartsData'!I184))),"")</f>
        <v/>
      </c>
      <c r="O184" t="str">
        <f ca="1">IF(N184="","",COUNTIF(ListCariPembeli,"&lt;="&amp;$N184))</f>
        <v/>
      </c>
      <c r="P184" t="str">
        <f ca="1">IF(O184="","",INDEX(ListCariPembeli,MATCH(ROWS($O$2:$O184),$O$2:$O$201,0)))</f>
        <v/>
      </c>
    </row>
    <row r="185" spans="10:16" x14ac:dyDescent="0.2">
      <c r="J185" t="str">
        <f t="array" aca="1" ref="J185" ca="1">IFERROR(INDEX(DaftarPembeli,SMALL(IF(OrderIDList=$I$2,ROW(DaftarPembeli)-ROW(PartsData!E$2)+1),ROWS(PartsData!E$2:'PartsData'!E185))),"")</f>
        <v/>
      </c>
      <c r="K185" t="str">
        <f ca="1">IF(J185="","",COUNTIF(ListPembeli,"&lt;="&amp;$J185))</f>
        <v/>
      </c>
      <c r="L185" t="str">
        <f ca="1">IF(K185="","",INDEX(ListPembeli,MATCH(ROWS($K$2:$K185),$K$2:$K$101,0)))</f>
        <v/>
      </c>
      <c r="N185" s="1" t="str">
        <f t="array" aca="1" ref="N185" ca="1">IFERROR(INDEX(DaftarPembeli,SMALL(IF(OrderIDList=$M$2,ROW(DaftarPembeli)-ROW(PartsData!I$2)+1),ROWS(PartsData!I$2:'PartsData'!I185))),"")</f>
        <v/>
      </c>
      <c r="O185" t="str">
        <f ca="1">IF(N185="","",COUNTIF(ListCariPembeli,"&lt;="&amp;$N185))</f>
        <v/>
      </c>
      <c r="P185" t="str">
        <f ca="1">IF(O185="","",INDEX(ListCariPembeli,MATCH(ROWS($O$2:$O185),$O$2:$O$201,0)))</f>
        <v/>
      </c>
    </row>
    <row r="186" spans="10:16" x14ac:dyDescent="0.2">
      <c r="J186" t="str">
        <f t="array" aca="1" ref="J186" ca="1">IFERROR(INDEX(DaftarPembeli,SMALL(IF(OrderIDList=$I$2,ROW(DaftarPembeli)-ROW(PartsData!E$2)+1),ROWS(PartsData!E$2:'PartsData'!E186))),"")</f>
        <v/>
      </c>
      <c r="K186" t="str">
        <f ca="1">IF(J186="","",COUNTIF(ListPembeli,"&lt;="&amp;$J186))</f>
        <v/>
      </c>
      <c r="L186" t="str">
        <f ca="1">IF(K186="","",INDEX(ListPembeli,MATCH(ROWS($K$2:$K186),$K$2:$K$101,0)))</f>
        <v/>
      </c>
      <c r="N186" s="1" t="str">
        <f t="array" aca="1" ref="N186" ca="1">IFERROR(INDEX(DaftarPembeli,SMALL(IF(OrderIDList=$M$2,ROW(DaftarPembeli)-ROW(PartsData!I$2)+1),ROWS(PartsData!I$2:'PartsData'!I186))),"")</f>
        <v/>
      </c>
      <c r="O186" t="str">
        <f ca="1">IF(N186="","",COUNTIF(ListCariPembeli,"&lt;="&amp;$N186))</f>
        <v/>
      </c>
      <c r="P186" t="str">
        <f ca="1">IF(O186="","",INDEX(ListCariPembeli,MATCH(ROWS($O$2:$O186),$O$2:$O$201,0)))</f>
        <v/>
      </c>
    </row>
    <row r="187" spans="10:16" x14ac:dyDescent="0.2">
      <c r="J187" t="str">
        <f t="array" aca="1" ref="J187" ca="1">IFERROR(INDEX(DaftarPembeli,SMALL(IF(OrderIDList=$I$2,ROW(DaftarPembeli)-ROW(PartsData!E$2)+1),ROWS(PartsData!E$2:'PartsData'!E187))),"")</f>
        <v/>
      </c>
      <c r="K187" t="str">
        <f ca="1">IF(J187="","",COUNTIF(ListPembeli,"&lt;="&amp;$J187))</f>
        <v/>
      </c>
      <c r="L187" t="str">
        <f ca="1">IF(K187="","",INDEX(ListPembeli,MATCH(ROWS($K$2:$K187),$K$2:$K$101,0)))</f>
        <v/>
      </c>
      <c r="N187" s="1" t="str">
        <f t="array" aca="1" ref="N187" ca="1">IFERROR(INDEX(DaftarPembeli,SMALL(IF(OrderIDList=$M$2,ROW(DaftarPembeli)-ROW(PartsData!I$2)+1),ROWS(PartsData!I$2:'PartsData'!I187))),"")</f>
        <v/>
      </c>
      <c r="O187" t="str">
        <f ca="1">IF(N187="","",COUNTIF(ListCariPembeli,"&lt;="&amp;$N187))</f>
        <v/>
      </c>
      <c r="P187" t="str">
        <f ca="1">IF(O187="","",INDEX(ListCariPembeli,MATCH(ROWS($O$2:$O187),$O$2:$O$201,0)))</f>
        <v/>
      </c>
    </row>
    <row r="188" spans="10:16" x14ac:dyDescent="0.2">
      <c r="J188" t="str">
        <f t="array" aca="1" ref="J188" ca="1">IFERROR(INDEX(DaftarPembeli,SMALL(IF(OrderIDList=$I$2,ROW(DaftarPembeli)-ROW(PartsData!E$2)+1),ROWS(PartsData!E$2:'PartsData'!E188))),"")</f>
        <v/>
      </c>
      <c r="K188" t="str">
        <f ca="1">IF(J188="","",COUNTIF(ListPembeli,"&lt;="&amp;$J188))</f>
        <v/>
      </c>
      <c r="L188" t="str">
        <f ca="1">IF(K188="","",INDEX(ListPembeli,MATCH(ROWS($K$2:$K188),$K$2:$K$101,0)))</f>
        <v/>
      </c>
      <c r="N188" s="1" t="str">
        <f t="array" aca="1" ref="N188" ca="1">IFERROR(INDEX(DaftarPembeli,SMALL(IF(OrderIDList=$M$2,ROW(DaftarPembeli)-ROW(PartsData!I$2)+1),ROWS(PartsData!I$2:'PartsData'!I188))),"")</f>
        <v/>
      </c>
      <c r="O188" t="str">
        <f ca="1">IF(N188="","",COUNTIF(ListCariPembeli,"&lt;="&amp;$N188))</f>
        <v/>
      </c>
      <c r="P188" t="str">
        <f ca="1">IF(O188="","",INDEX(ListCariPembeli,MATCH(ROWS($O$2:$O188),$O$2:$O$201,0)))</f>
        <v/>
      </c>
    </row>
    <row r="189" spans="10:16" x14ac:dyDescent="0.2">
      <c r="J189" t="str">
        <f t="array" aca="1" ref="J189" ca="1">IFERROR(INDEX(DaftarPembeli,SMALL(IF(OrderIDList=$I$2,ROW(DaftarPembeli)-ROW(PartsData!E$2)+1),ROWS(PartsData!E$2:'PartsData'!E189))),"")</f>
        <v/>
      </c>
      <c r="K189" t="str">
        <f ca="1">IF(J189="","",COUNTIF(ListPembeli,"&lt;="&amp;$J189))</f>
        <v/>
      </c>
      <c r="L189" t="str">
        <f ca="1">IF(K189="","",INDEX(ListPembeli,MATCH(ROWS($K$2:$K189),$K$2:$K$101,0)))</f>
        <v/>
      </c>
      <c r="N189" s="1" t="str">
        <f t="array" aca="1" ref="N189" ca="1">IFERROR(INDEX(DaftarPembeli,SMALL(IF(OrderIDList=$M$2,ROW(DaftarPembeli)-ROW(PartsData!I$2)+1),ROWS(PartsData!I$2:'PartsData'!I189))),"")</f>
        <v/>
      </c>
      <c r="O189" t="str">
        <f ca="1">IF(N189="","",COUNTIF(ListCariPembeli,"&lt;="&amp;$N189))</f>
        <v/>
      </c>
      <c r="P189" t="str">
        <f ca="1">IF(O189="","",INDEX(ListCariPembeli,MATCH(ROWS($O$2:$O189),$O$2:$O$201,0)))</f>
        <v/>
      </c>
    </row>
    <row r="190" spans="10:16" x14ac:dyDescent="0.2">
      <c r="J190" t="str">
        <f t="array" aca="1" ref="J190" ca="1">IFERROR(INDEX(DaftarPembeli,SMALL(IF(OrderIDList=$I$2,ROW(DaftarPembeli)-ROW(PartsData!E$2)+1),ROWS(PartsData!E$2:'PartsData'!E190))),"")</f>
        <v/>
      </c>
      <c r="K190" t="str">
        <f ca="1">IF(J190="","",COUNTIF(ListPembeli,"&lt;="&amp;$J190))</f>
        <v/>
      </c>
      <c r="L190" t="str">
        <f ca="1">IF(K190="","",INDEX(ListPembeli,MATCH(ROWS($K$2:$K190),$K$2:$K$101,0)))</f>
        <v/>
      </c>
      <c r="N190" s="1" t="str">
        <f t="array" aca="1" ref="N190" ca="1">IFERROR(INDEX(DaftarPembeli,SMALL(IF(OrderIDList=$M$2,ROW(DaftarPembeli)-ROW(PartsData!I$2)+1),ROWS(PartsData!I$2:'PartsData'!I190))),"")</f>
        <v/>
      </c>
      <c r="O190" t="str">
        <f ca="1">IF(N190="","",COUNTIF(ListCariPembeli,"&lt;="&amp;$N190))</f>
        <v/>
      </c>
      <c r="P190" t="str">
        <f ca="1">IF(O190="","",INDEX(ListCariPembeli,MATCH(ROWS($O$2:$O190),$O$2:$O$201,0)))</f>
        <v/>
      </c>
    </row>
    <row r="191" spans="10:16" x14ac:dyDescent="0.2">
      <c r="J191" t="str">
        <f t="array" aca="1" ref="J191" ca="1">IFERROR(INDEX(DaftarPembeli,SMALL(IF(OrderIDList=$I$2,ROW(DaftarPembeli)-ROW(PartsData!E$2)+1),ROWS(PartsData!E$2:'PartsData'!E191))),"")</f>
        <v/>
      </c>
      <c r="K191" t="str">
        <f ca="1">IF(J191="","",COUNTIF(ListPembeli,"&lt;="&amp;$J191))</f>
        <v/>
      </c>
      <c r="L191" t="str">
        <f ca="1">IF(K191="","",INDEX(ListPembeli,MATCH(ROWS($K$2:$K191),$K$2:$K$101,0)))</f>
        <v/>
      </c>
      <c r="N191" s="1" t="str">
        <f t="array" aca="1" ref="N191" ca="1">IFERROR(INDEX(DaftarPembeli,SMALL(IF(OrderIDList=$M$2,ROW(DaftarPembeli)-ROW(PartsData!I$2)+1),ROWS(PartsData!I$2:'PartsData'!I191))),"")</f>
        <v/>
      </c>
      <c r="O191" t="str">
        <f ca="1">IF(N191="","",COUNTIF(ListCariPembeli,"&lt;="&amp;$N191))</f>
        <v/>
      </c>
      <c r="P191" t="str">
        <f ca="1">IF(O191="","",INDEX(ListCariPembeli,MATCH(ROWS($O$2:$O191),$O$2:$O$201,0)))</f>
        <v/>
      </c>
    </row>
    <row r="192" spans="10:16" x14ac:dyDescent="0.2">
      <c r="J192" t="str">
        <f t="array" aca="1" ref="J192" ca="1">IFERROR(INDEX(DaftarPembeli,SMALL(IF(OrderIDList=$I$2,ROW(DaftarPembeli)-ROW(PartsData!E$2)+1),ROWS(PartsData!E$2:'PartsData'!E192))),"")</f>
        <v/>
      </c>
      <c r="K192" t="str">
        <f ca="1">IF(J192="","",COUNTIF(ListPembeli,"&lt;="&amp;$J192))</f>
        <v/>
      </c>
      <c r="L192" t="str">
        <f ca="1">IF(K192="","",INDEX(ListPembeli,MATCH(ROWS($K$2:$K192),$K$2:$K$101,0)))</f>
        <v/>
      </c>
      <c r="N192" s="1" t="str">
        <f t="array" aca="1" ref="N192" ca="1">IFERROR(INDEX(DaftarPembeli,SMALL(IF(OrderIDList=$M$2,ROW(DaftarPembeli)-ROW(PartsData!I$2)+1),ROWS(PartsData!I$2:'PartsData'!I192))),"")</f>
        <v/>
      </c>
      <c r="O192" t="str">
        <f ca="1">IF(N192="","",COUNTIF(ListCariPembeli,"&lt;="&amp;$N192))</f>
        <v/>
      </c>
      <c r="P192" t="str">
        <f ca="1">IF(O192="","",INDEX(ListCariPembeli,MATCH(ROWS($O$2:$O192),$O$2:$O$201,0)))</f>
        <v/>
      </c>
    </row>
    <row r="193" spans="10:16" x14ac:dyDescent="0.2">
      <c r="J193" t="str">
        <f t="array" aca="1" ref="J193" ca="1">IFERROR(INDEX(DaftarPembeli,SMALL(IF(OrderIDList=$I$2,ROW(DaftarPembeli)-ROW(PartsData!E$2)+1),ROWS(PartsData!E$2:'PartsData'!E193))),"")</f>
        <v/>
      </c>
      <c r="K193" t="str">
        <f ca="1">IF(J193="","",COUNTIF(ListPembeli,"&lt;="&amp;$J193))</f>
        <v/>
      </c>
      <c r="L193" t="str">
        <f ca="1">IF(K193="","",INDEX(ListPembeli,MATCH(ROWS($K$2:$K193),$K$2:$K$101,0)))</f>
        <v/>
      </c>
      <c r="N193" s="1" t="str">
        <f t="array" aca="1" ref="N193" ca="1">IFERROR(INDEX(DaftarPembeli,SMALL(IF(OrderIDList=$M$2,ROW(DaftarPembeli)-ROW(PartsData!I$2)+1),ROWS(PartsData!I$2:'PartsData'!I193))),"")</f>
        <v/>
      </c>
      <c r="O193" t="str">
        <f ca="1">IF(N193="","",COUNTIF(ListCariPembeli,"&lt;="&amp;$N193))</f>
        <v/>
      </c>
      <c r="P193" t="str">
        <f ca="1">IF(O193="","",INDEX(ListCariPembeli,MATCH(ROWS($O$2:$O193),$O$2:$O$201,0)))</f>
        <v/>
      </c>
    </row>
    <row r="194" spans="10:16" x14ac:dyDescent="0.2">
      <c r="J194" t="str">
        <f t="array" aca="1" ref="J194" ca="1">IFERROR(INDEX(DaftarPembeli,SMALL(IF(OrderIDList=$I$2,ROW(DaftarPembeli)-ROW(PartsData!E$2)+1),ROWS(PartsData!E$2:'PartsData'!E194))),"")</f>
        <v/>
      </c>
      <c r="K194" t="str">
        <f ca="1">IF(J194="","",COUNTIF(ListPembeli,"&lt;="&amp;$J194))</f>
        <v/>
      </c>
      <c r="L194" t="str">
        <f ca="1">IF(K194="","",INDEX(ListPembeli,MATCH(ROWS($K$2:$K194),$K$2:$K$101,0)))</f>
        <v/>
      </c>
      <c r="N194" s="1" t="str">
        <f t="array" aca="1" ref="N194" ca="1">IFERROR(INDEX(DaftarPembeli,SMALL(IF(OrderIDList=$M$2,ROW(DaftarPembeli)-ROW(PartsData!I$2)+1),ROWS(PartsData!I$2:'PartsData'!I194))),"")</f>
        <v/>
      </c>
      <c r="O194" t="str">
        <f ca="1">IF(N194="","",COUNTIF(ListCariPembeli,"&lt;="&amp;$N194))</f>
        <v/>
      </c>
      <c r="P194" t="str">
        <f ca="1">IF(O194="","",INDEX(ListCariPembeli,MATCH(ROWS($O$2:$O194),$O$2:$O$201,0)))</f>
        <v/>
      </c>
    </row>
    <row r="195" spans="10:16" x14ac:dyDescent="0.2">
      <c r="J195" t="str">
        <f t="array" aca="1" ref="J195" ca="1">IFERROR(INDEX(DaftarPembeli,SMALL(IF(OrderIDList=$I$2,ROW(DaftarPembeli)-ROW(PartsData!E$2)+1),ROWS(PartsData!E$2:'PartsData'!E195))),"")</f>
        <v/>
      </c>
      <c r="K195" t="str">
        <f ca="1">IF(J195="","",COUNTIF(ListPembeli,"&lt;="&amp;$J195))</f>
        <v/>
      </c>
      <c r="L195" t="str">
        <f ca="1">IF(K195="","",INDEX(ListPembeli,MATCH(ROWS($K$2:$K195),$K$2:$K$101,0)))</f>
        <v/>
      </c>
      <c r="N195" s="1" t="str">
        <f t="array" aca="1" ref="N195" ca="1">IFERROR(INDEX(DaftarPembeli,SMALL(IF(OrderIDList=$M$2,ROW(DaftarPembeli)-ROW(PartsData!I$2)+1),ROWS(PartsData!I$2:'PartsData'!I195))),"")</f>
        <v/>
      </c>
      <c r="O195" t="str">
        <f ca="1">IF(N195="","",COUNTIF(ListCariPembeli,"&lt;="&amp;$N195))</f>
        <v/>
      </c>
      <c r="P195" t="str">
        <f ca="1">IF(O195="","",INDEX(ListCariPembeli,MATCH(ROWS($O$2:$O195),$O$2:$O$201,0)))</f>
        <v/>
      </c>
    </row>
    <row r="196" spans="10:16" x14ac:dyDescent="0.2">
      <c r="J196" t="str">
        <f t="array" aca="1" ref="J196" ca="1">IFERROR(INDEX(DaftarPembeli,SMALL(IF(OrderIDList=$I$2,ROW(DaftarPembeli)-ROW(PartsData!E$2)+1),ROWS(PartsData!E$2:'PartsData'!E196))),"")</f>
        <v/>
      </c>
      <c r="K196" t="str">
        <f ca="1">IF(J196="","",COUNTIF(ListPembeli,"&lt;="&amp;$J196))</f>
        <v/>
      </c>
      <c r="L196" t="str">
        <f ca="1">IF(K196="","",INDEX(ListPembeli,MATCH(ROWS($K$2:$K196),$K$2:$K$101,0)))</f>
        <v/>
      </c>
      <c r="N196" s="1" t="str">
        <f t="array" aca="1" ref="N196" ca="1">IFERROR(INDEX(DaftarPembeli,SMALL(IF(OrderIDList=$M$2,ROW(DaftarPembeli)-ROW(PartsData!I$2)+1),ROWS(PartsData!I$2:'PartsData'!I196))),"")</f>
        <v/>
      </c>
      <c r="O196" t="str">
        <f ca="1">IF(N196="","",COUNTIF(ListCariPembeli,"&lt;="&amp;$N196))</f>
        <v/>
      </c>
      <c r="P196" t="str">
        <f ca="1">IF(O196="","",INDEX(ListCariPembeli,MATCH(ROWS($O$2:$O196),$O$2:$O$201,0)))</f>
        <v/>
      </c>
    </row>
    <row r="197" spans="10:16" x14ac:dyDescent="0.2">
      <c r="J197" t="str">
        <f t="array" aca="1" ref="J197" ca="1">IFERROR(INDEX(DaftarPembeli,SMALL(IF(OrderIDList=$I$2,ROW(DaftarPembeli)-ROW(PartsData!E$2)+1),ROWS(PartsData!E$2:'PartsData'!E197))),"")</f>
        <v/>
      </c>
      <c r="K197" t="str">
        <f ca="1">IF(J197="","",COUNTIF(ListPembeli,"&lt;="&amp;$J197))</f>
        <v/>
      </c>
      <c r="L197" t="str">
        <f ca="1">IF(K197="","",INDEX(ListPembeli,MATCH(ROWS($K$2:$K197),$K$2:$K$101,0)))</f>
        <v/>
      </c>
      <c r="N197" s="1" t="str">
        <f t="array" aca="1" ref="N197" ca="1">IFERROR(INDEX(DaftarPembeli,SMALL(IF(OrderIDList=$M$2,ROW(DaftarPembeli)-ROW(PartsData!I$2)+1),ROWS(PartsData!I$2:'PartsData'!I197))),"")</f>
        <v/>
      </c>
      <c r="O197" t="str">
        <f ca="1">IF(N197="","",COUNTIF(ListCariPembeli,"&lt;="&amp;$N197))</f>
        <v/>
      </c>
      <c r="P197" t="str">
        <f ca="1">IF(O197="","",INDEX(ListCariPembeli,MATCH(ROWS($O$2:$O197),$O$2:$O$201,0)))</f>
        <v/>
      </c>
    </row>
    <row r="198" spans="10:16" x14ac:dyDescent="0.2">
      <c r="J198" t="str">
        <f t="array" aca="1" ref="J198" ca="1">IFERROR(INDEX(DaftarPembeli,SMALL(IF(OrderIDList=$I$2,ROW(DaftarPembeli)-ROW(PartsData!E$2)+1),ROWS(PartsData!E$2:'PartsData'!E198))),"")</f>
        <v/>
      </c>
      <c r="K198" t="str">
        <f ca="1">IF(J198="","",COUNTIF(ListPembeli,"&lt;="&amp;$J198))</f>
        <v/>
      </c>
      <c r="L198" t="str">
        <f ca="1">IF(K198="","",INDEX(ListPembeli,MATCH(ROWS($K$2:$K198),$K$2:$K$101,0)))</f>
        <v/>
      </c>
      <c r="N198" s="1" t="str">
        <f t="array" aca="1" ref="N198" ca="1">IFERROR(INDEX(DaftarPembeli,SMALL(IF(OrderIDList=$M$2,ROW(DaftarPembeli)-ROW(PartsData!I$2)+1),ROWS(PartsData!I$2:'PartsData'!I198))),"")</f>
        <v/>
      </c>
      <c r="O198" t="str">
        <f ca="1">IF(N198="","",COUNTIF(ListCariPembeli,"&lt;="&amp;$N198))</f>
        <v/>
      </c>
      <c r="P198" t="str">
        <f ca="1">IF(O198="","",INDEX(ListCariPembeli,MATCH(ROWS($O$2:$O198),$O$2:$O$201,0)))</f>
        <v/>
      </c>
    </row>
    <row r="199" spans="10:16" x14ac:dyDescent="0.2">
      <c r="J199" t="str">
        <f t="array" aca="1" ref="J199" ca="1">IFERROR(INDEX(DaftarPembeli,SMALL(IF(OrderIDList=$I$2,ROW(DaftarPembeli)-ROW(PartsData!E$2)+1),ROWS(PartsData!E$2:'PartsData'!E199))),"")</f>
        <v/>
      </c>
      <c r="K199" t="str">
        <f ca="1">IF(J199="","",COUNTIF(ListPembeli,"&lt;="&amp;$J199))</f>
        <v/>
      </c>
      <c r="L199" t="str">
        <f ca="1">IF(K199="","",INDEX(ListPembeli,MATCH(ROWS($K$2:$K199),$K$2:$K$101,0)))</f>
        <v/>
      </c>
      <c r="N199" s="1" t="str">
        <f t="array" aca="1" ref="N199" ca="1">IFERROR(INDEX(DaftarPembeli,SMALL(IF(OrderIDList=$M$2,ROW(DaftarPembeli)-ROW(PartsData!I$2)+1),ROWS(PartsData!I$2:'PartsData'!I199))),"")</f>
        <v/>
      </c>
      <c r="O199" t="str">
        <f ca="1">IF(N199="","",COUNTIF(ListCariPembeli,"&lt;="&amp;$N199))</f>
        <v/>
      </c>
      <c r="P199" t="str">
        <f ca="1">IF(O199="","",INDEX(ListCariPembeli,MATCH(ROWS($O$2:$O199),$O$2:$O$201,0)))</f>
        <v/>
      </c>
    </row>
    <row r="200" spans="10:16" x14ac:dyDescent="0.2">
      <c r="J200" t="str">
        <f t="array" aca="1" ref="J200" ca="1">IFERROR(INDEX(DaftarPembeli,SMALL(IF(OrderIDList=$I$2,ROW(DaftarPembeli)-ROW(PartsData!E$2)+1),ROWS(PartsData!E$2:'PartsData'!E200))),"")</f>
        <v/>
      </c>
      <c r="K200" t="str">
        <f ca="1">IF(J200="","",COUNTIF(ListPembeli,"&lt;="&amp;$J200))</f>
        <v/>
      </c>
      <c r="L200" t="str">
        <f ca="1">IF(K200="","",INDEX(ListPembeli,MATCH(ROWS($K$2:$K200),$K$2:$K$101,0)))</f>
        <v/>
      </c>
      <c r="N200" s="1" t="str">
        <f t="array" aca="1" ref="N200" ca="1">IFERROR(INDEX(DaftarPembeli,SMALL(IF(OrderIDList=$M$2,ROW(DaftarPembeli)-ROW(PartsData!I$2)+1),ROWS(PartsData!I$2:'PartsData'!I200))),"")</f>
        <v/>
      </c>
      <c r="O200" t="str">
        <f ca="1">IF(N200="","",COUNTIF(ListCariPembeli,"&lt;="&amp;$N200))</f>
        <v/>
      </c>
      <c r="P200" t="str">
        <f ca="1">IF(O200="","",INDEX(ListCariPembeli,MATCH(ROWS($O$2:$O200),$O$2:$O$201,0)))</f>
        <v/>
      </c>
    </row>
    <row r="201" spans="10:16" x14ac:dyDescent="0.2">
      <c r="J201" t="str">
        <f t="array" aca="1" ref="J201" ca="1">IFERROR(INDEX(DaftarPembeli,SMALL(IF(OrderIDList=$I$2,ROW(DaftarPembeli)-ROW(PartsData!E$2)+1),ROWS(PartsData!E$2:'PartsData'!E201))),"")</f>
        <v/>
      </c>
      <c r="K201" t="str">
        <f ca="1">IF(J201="","",COUNTIF(ListPembeli,"&lt;="&amp;$J201))</f>
        <v/>
      </c>
      <c r="L201" t="str">
        <f ca="1">IF(K201="","",INDEX(ListPembeli,MATCH(ROWS($K$2:$K201),$K$2:$K$101,0)))</f>
        <v/>
      </c>
      <c r="N201" s="86" t="str">
        <f t="array" aca="1" ref="N201" ca="1">IFERROR(INDEX(DaftarPembeli,SMALL(IF(OrderIDList=$M$2,ROW(DaftarPembeli)-ROW(PartsData!I$2)+1),ROWS(PartsData!I$2:'PartsData'!I201))),"")</f>
        <v/>
      </c>
      <c r="O201" t="str">
        <f ca="1">IF(N201="","",COUNTIF(ListCariPembeli,"&lt;="&amp;$N201))</f>
        <v/>
      </c>
      <c r="P201" t="str">
        <f ca="1">IF(O201="","",INDEX(ListCariPembeli,MATCH(ROWS($O$2:$O201),$O$2:$O$201,0)))</f>
        <v/>
      </c>
    </row>
  </sheetData>
  <conditionalFormatting sqref="A1:B1048576">
    <cfRule type="notContainsBlanks" dxfId="3" priority="1">
      <formula>LEN(TRIM(A1))&gt;0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Entry" enableFormatConditionsCalculation="0">
    <pageSetUpPr autoPageBreaks="0"/>
  </sheetPr>
  <dimension ref="B1:S17"/>
  <sheetViews>
    <sheetView showGridLines="0" workbookViewId="0">
      <selection activeCell="J2" sqref="J2"/>
    </sheetView>
  </sheetViews>
  <sheetFormatPr baseColWidth="10" defaultColWidth="9.19921875" defaultRowHeight="16" x14ac:dyDescent="0.2"/>
  <cols>
    <col min="1" max="1" width="1.796875" style="1" customWidth="1"/>
    <col min="2" max="2" width="33.59765625" style="1" customWidth="1"/>
    <col min="3" max="3" width="0.796875" style="1" customWidth="1"/>
    <col min="4" max="4" width="40.19921875" style="27" bestFit="1" customWidth="1"/>
    <col min="5" max="6" width="4.19921875" style="1" hidden="1" customWidth="1"/>
    <col min="7" max="7" width="1.796875" style="1" customWidth="1"/>
    <col min="8" max="8" width="9.19921875" style="1"/>
    <col min="9" max="9" width="1.19921875" style="1" customWidth="1"/>
    <col min="10" max="10" width="28.796875" style="1" customWidth="1"/>
    <col min="11" max="11" width="30.19921875" style="1" bestFit="1" customWidth="1"/>
    <col min="12" max="12" width="6.796875" style="1" customWidth="1"/>
    <col min="13" max="13" width="3.796875" style="9" bestFit="1" customWidth="1"/>
    <col min="14" max="17" width="9.19921875" style="1"/>
    <col min="18" max="19" width="9.19921875" style="1" hidden="1" customWidth="1"/>
    <col min="20" max="16384" width="9.19921875" style="1"/>
  </cols>
  <sheetData>
    <row r="1" spans="2:19" ht="18" customHeight="1" x14ac:dyDescent="0.2">
      <c r="D1" s="58"/>
      <c r="E1" s="13" t="s">
        <v>3</v>
      </c>
      <c r="F1" s="13" t="s">
        <v>3</v>
      </c>
      <c r="K1" s="72"/>
      <c r="L1" s="72"/>
    </row>
    <row r="2" spans="2:19" ht="60" x14ac:dyDescent="0.2">
      <c r="D2" s="59" t="s">
        <v>60</v>
      </c>
      <c r="E2" s="5"/>
      <c r="F2" s="5"/>
      <c r="J2" s="3"/>
      <c r="K2" s="73"/>
      <c r="L2" s="73"/>
    </row>
    <row r="3" spans="2:19" ht="30" customHeight="1" x14ac:dyDescent="0.2">
      <c r="B3" s="4"/>
      <c r="J3" s="71"/>
      <c r="K3" s="2"/>
      <c r="L3" s="2"/>
    </row>
    <row r="4" spans="2:19" ht="18" customHeight="1" thickBot="1" x14ac:dyDescent="0.25">
      <c r="B4" s="21" t="s">
        <v>23</v>
      </c>
      <c r="C4" s="48"/>
      <c r="D4" s="49"/>
      <c r="E4" s="6" t="s">
        <v>1</v>
      </c>
      <c r="F4" s="7" t="s">
        <v>2</v>
      </c>
      <c r="J4" s="76" t="s">
        <v>62</v>
      </c>
      <c r="K4" s="14"/>
      <c r="L4" s="14"/>
    </row>
    <row r="5" spans="2:19" ht="18" customHeight="1" thickTop="1" thickBot="1" x14ac:dyDescent="0.3">
      <c r="B5" s="43" t="s">
        <v>22</v>
      </c>
      <c r="C5" s="46"/>
      <c r="D5" s="35"/>
      <c r="E5" s="34" t="s">
        <v>0</v>
      </c>
      <c r="F5" s="8">
        <f>IF(E5="","",IF(D5="",1,""))</f>
        <v>1</v>
      </c>
      <c r="G5"/>
      <c r="H5" s="3"/>
      <c r="I5" s="15"/>
      <c r="J5" s="75"/>
      <c r="K5" s="51" t="s">
        <v>22</v>
      </c>
      <c r="L5" s="2"/>
      <c r="N5" s="78"/>
      <c r="O5" s="79"/>
      <c r="P5" s="78"/>
      <c r="R5" s="1" t="b">
        <f ca="1">IF(COUNTIFS(OrderIDList,OrderSel,DaftarPembeli,IDPembeli)&gt;0,TRUE,FALSE)</f>
        <v>0</v>
      </c>
      <c r="S5" s="1" t="e">
        <f t="array" aca="1" ref="S5" ca="1">MATCH(OrderSel&amp;PilihPembeli,OrderIDList&amp;DaftarPembeli,0)</f>
        <v>#N/A</v>
      </c>
    </row>
    <row r="6" spans="2:19" ht="18" customHeight="1" thickTop="1" thickBot="1" x14ac:dyDescent="0.3">
      <c r="B6" s="43" t="s">
        <v>24</v>
      </c>
      <c r="C6" s="46"/>
      <c r="D6" s="36"/>
      <c r="E6" s="34" t="s">
        <v>0</v>
      </c>
      <c r="F6" s="8">
        <f>IF(E6="","",IF(D6="",1,""))</f>
        <v>1</v>
      </c>
      <c r="H6" s="3"/>
      <c r="I6" s="15"/>
      <c r="J6" s="75"/>
      <c r="K6" s="51" t="s">
        <v>25</v>
      </c>
      <c r="L6" s="2"/>
      <c r="N6" s="77"/>
      <c r="O6" s="2"/>
      <c r="P6" s="80"/>
      <c r="R6" s="1">
        <f>COUNTA(PartsData!A:A)-1</f>
        <v>26</v>
      </c>
      <c r="S6" s="1">
        <v>0</v>
      </c>
    </row>
    <row r="7" spans="2:19" ht="18" customHeight="1" thickTop="1" x14ac:dyDescent="0.2">
      <c r="B7" s="43" t="s">
        <v>25</v>
      </c>
      <c r="C7" s="46"/>
      <c r="D7" s="37"/>
      <c r="E7" s="34"/>
      <c r="F7" s="8" t="str">
        <f>IF(E7="","",IF(D7="",1,""))</f>
        <v/>
      </c>
      <c r="H7" s="3"/>
      <c r="I7" s="15"/>
      <c r="J7" s="50"/>
      <c r="K7" s="2"/>
      <c r="L7" s="2"/>
      <c r="N7" s="78"/>
      <c r="O7" s="78"/>
      <c r="P7" s="78"/>
    </row>
    <row r="8" spans="2:19" ht="18" customHeight="1" x14ac:dyDescent="0.2">
      <c r="B8" s="43" t="s">
        <v>26</v>
      </c>
      <c r="C8" s="46"/>
      <c r="D8" s="38"/>
      <c r="E8" s="34" t="s">
        <v>0</v>
      </c>
      <c r="F8" s="8">
        <f>IF(E8="","",IF(D8="",1,""))</f>
        <v>1</v>
      </c>
    </row>
    <row r="9" spans="2:19" ht="18" customHeight="1" x14ac:dyDescent="0.25">
      <c r="B9" s="44" t="s">
        <v>27</v>
      </c>
      <c r="C9" s="46"/>
      <c r="D9" s="39"/>
      <c r="K9" s="9"/>
    </row>
    <row r="10" spans="2:19" ht="57" customHeight="1" x14ac:dyDescent="0.2">
      <c r="B10" s="45" t="s">
        <v>28</v>
      </c>
      <c r="C10" s="46"/>
      <c r="D10" s="29"/>
    </row>
    <row r="11" spans="2:19" ht="18" customHeight="1" x14ac:dyDescent="0.2">
      <c r="B11" s="43" t="s">
        <v>29</v>
      </c>
      <c r="C11" s="47"/>
      <c r="D11" s="40"/>
    </row>
    <row r="12" spans="2:19" ht="18" customHeight="1" x14ac:dyDescent="0.2">
      <c r="B12" s="43" t="s">
        <v>30</v>
      </c>
      <c r="C12" s="47"/>
      <c r="D12" s="31"/>
    </row>
    <row r="13" spans="2:19" ht="18" customHeight="1" x14ac:dyDescent="0.25">
      <c r="B13" s="43" t="s">
        <v>31</v>
      </c>
      <c r="C13" s="47"/>
      <c r="D13" s="84"/>
    </row>
    <row r="14" spans="2:19" ht="18" customHeight="1" x14ac:dyDescent="0.2">
      <c r="B14" s="43" t="s">
        <v>32</v>
      </c>
      <c r="C14" s="47"/>
      <c r="D14" s="85"/>
    </row>
    <row r="15" spans="2:19" ht="18" customHeight="1" x14ac:dyDescent="0.2">
      <c r="B15" s="43" t="s">
        <v>33</v>
      </c>
      <c r="C15" s="47"/>
      <c r="D15" s="41"/>
    </row>
    <row r="16" spans="2:19" ht="18" customHeight="1" x14ac:dyDescent="0.2">
      <c r="B16" s="43" t="s">
        <v>34</v>
      </c>
      <c r="C16" s="47"/>
      <c r="D16" s="42"/>
    </row>
    <row r="17" spans="17:17" ht="19.25" customHeight="1" x14ac:dyDescent="0.3">
      <c r="Q17" s="74"/>
    </row>
  </sheetData>
  <phoneticPr fontId="3" type="noConversion"/>
  <dataValidations count="8">
    <dataValidation type="whole" allowBlank="1" showInputMessage="1" showErrorMessage="1" error="Enter a number between 1 and the total number of records." sqref="N6">
      <formula1>1</formula1>
      <formula2>P6</formula2>
    </dataValidation>
    <dataValidation type="list" allowBlank="1" showInputMessage="1" showErrorMessage="1" sqref="D8">
      <formula1>JK</formula1>
    </dataValidation>
    <dataValidation allowBlank="1" showInputMessage="1" showErrorMessage="1" sqref="D7"/>
    <dataValidation type="list" operator="greaterThanOrEqual" allowBlank="1" showInputMessage="1" showErrorMessage="1" sqref="D5">
      <formula1>DaftarKontak</formula1>
    </dataValidation>
    <dataValidation type="list" allowBlank="1" showInputMessage="1" showErrorMessage="1" sqref="D16">
      <formula1>Status</formula1>
    </dataValidation>
    <dataValidation type="list" allowBlank="1" showInputMessage="1" showErrorMessage="1" sqref="J5">
      <formula1>DaftarKontak</formula1>
    </dataValidation>
    <dataValidation type="list" allowBlank="1" showInputMessage="1" showErrorMessage="1" sqref="D6">
      <formula1>HP</formula1>
    </dataValidation>
    <dataValidation type="list" allowBlank="1" showInputMessage="1" showErrorMessage="1" sqref="J6">
      <formula1>NamaPembeli</formula1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" enableFormatConditionsCalculation="0"/>
  <dimension ref="A1:N27"/>
  <sheetViews>
    <sheetView showGridLines="0" tabSelected="1" workbookViewId="0">
      <selection activeCell="A2" sqref="A2:N27"/>
    </sheetView>
  </sheetViews>
  <sheetFormatPr baseColWidth="10" defaultColWidth="9" defaultRowHeight="15" x14ac:dyDescent="0.2"/>
  <cols>
    <col min="1" max="1" width="20.796875" style="29" customWidth="1"/>
    <col min="2" max="2" width="7" style="29" bestFit="1" customWidth="1"/>
    <col min="3" max="3" width="30.59765625" style="30" customWidth="1"/>
    <col min="4" max="4" width="14.796875" style="31" bestFit="1" customWidth="1"/>
    <col min="5" max="5" width="29.3984375" style="29" bestFit="1" customWidth="1"/>
    <col min="6" max="6" width="14" style="29" customWidth="1"/>
    <col min="7" max="7" width="23.59765625" style="32" bestFit="1" customWidth="1"/>
    <col min="8" max="8" width="42.796875" style="33" bestFit="1" customWidth="1"/>
    <col min="9" max="9" width="21.796875" style="31" customWidth="1"/>
    <col min="10" max="10" width="17.59765625" style="31" customWidth="1"/>
    <col min="11" max="11" width="40.19921875" style="29" bestFit="1" customWidth="1"/>
    <col min="12" max="12" width="22.3984375" style="82" bestFit="1" customWidth="1"/>
    <col min="13" max="13" width="19.796875" style="32" bestFit="1" customWidth="1"/>
    <col min="14" max="14" width="15.3984375" style="29" customWidth="1"/>
    <col min="15" max="16384" width="9" style="29"/>
  </cols>
  <sheetData>
    <row r="1" spans="1:14" s="23" customFormat="1" ht="28" x14ac:dyDescent="0.2">
      <c r="A1" s="52" t="s">
        <v>54</v>
      </c>
      <c r="B1" s="52" t="s">
        <v>53</v>
      </c>
      <c r="C1" s="53" t="s">
        <v>22</v>
      </c>
      <c r="D1" s="54" t="s">
        <v>24</v>
      </c>
      <c r="E1" s="55" t="s">
        <v>25</v>
      </c>
      <c r="F1" s="55" t="s">
        <v>26</v>
      </c>
      <c r="G1" s="56" t="s">
        <v>27</v>
      </c>
      <c r="H1" s="53" t="s">
        <v>28</v>
      </c>
      <c r="I1" s="54" t="s">
        <v>29</v>
      </c>
      <c r="J1" s="54" t="s">
        <v>30</v>
      </c>
      <c r="K1" s="55" t="s">
        <v>31</v>
      </c>
      <c r="L1" s="55" t="s">
        <v>32</v>
      </c>
      <c r="M1" s="57" t="s">
        <v>33</v>
      </c>
      <c r="N1" s="55" t="s">
        <v>34</v>
      </c>
    </row>
    <row r="2" spans="1:14" ht="14" x14ac:dyDescent="0.2">
      <c r="A2" s="28">
        <v>43126.997928240744</v>
      </c>
      <c r="B2" s="29" t="s">
        <v>44</v>
      </c>
      <c r="C2" s="30" t="s">
        <v>18</v>
      </c>
      <c r="D2" s="31">
        <v>81322260653</v>
      </c>
      <c r="E2" s="29" t="s">
        <v>61</v>
      </c>
      <c r="F2" s="29" t="s">
        <v>45</v>
      </c>
      <c r="G2" s="32">
        <v>27475</v>
      </c>
      <c r="H2" s="33" t="s">
        <v>46</v>
      </c>
      <c r="I2" s="31">
        <v>81322622881</v>
      </c>
      <c r="J2" s="31">
        <v>8112311523</v>
      </c>
      <c r="K2" s="83" t="s">
        <v>57</v>
      </c>
      <c r="L2" s="83" t="s">
        <v>56</v>
      </c>
      <c r="M2" s="32">
        <v>43132</v>
      </c>
      <c r="N2" s="29" t="s">
        <v>43</v>
      </c>
    </row>
    <row r="3" spans="1:14" ht="28" x14ac:dyDescent="0.2">
      <c r="A3" s="28">
        <v>43126.999548611115</v>
      </c>
      <c r="B3" s="29" t="s">
        <v>44</v>
      </c>
      <c r="C3" s="30" t="s">
        <v>18</v>
      </c>
      <c r="D3" s="31">
        <v>81322260653</v>
      </c>
      <c r="E3" s="29" t="s">
        <v>48</v>
      </c>
      <c r="F3" s="29" t="s">
        <v>35</v>
      </c>
      <c r="G3" s="32">
        <v>22640</v>
      </c>
      <c r="H3" s="33" t="s">
        <v>55</v>
      </c>
      <c r="I3" s="31">
        <v>81212228690</v>
      </c>
      <c r="J3" s="31">
        <v>85861113838</v>
      </c>
      <c r="K3" s="83" t="s">
        <v>59</v>
      </c>
      <c r="L3" s="29">
        <v>0</v>
      </c>
      <c r="M3" s="32">
        <v>43104</v>
      </c>
      <c r="N3" s="29" t="s">
        <v>43</v>
      </c>
    </row>
    <row r="4" spans="1:14" ht="14" x14ac:dyDescent="0.2">
      <c r="A4" s="28">
        <v>43129.0078125</v>
      </c>
      <c r="B4" s="29" t="s">
        <v>44</v>
      </c>
      <c r="C4" s="30" t="s">
        <v>18</v>
      </c>
      <c r="D4" s="31">
        <v>81322260653</v>
      </c>
      <c r="E4" s="29" t="s">
        <v>63</v>
      </c>
      <c r="F4" s="29" t="s">
        <v>35</v>
      </c>
      <c r="G4" s="32">
        <v>43328</v>
      </c>
      <c r="H4" s="33" t="s">
        <v>65</v>
      </c>
      <c r="I4" s="31">
        <v>81220096778</v>
      </c>
      <c r="J4" s="31">
        <v>81220096778</v>
      </c>
      <c r="K4" s="83" t="s">
        <v>64</v>
      </c>
      <c r="L4" s="29">
        <v>0</v>
      </c>
      <c r="M4" s="32">
        <v>43104</v>
      </c>
      <c r="N4" s="29" t="s">
        <v>43</v>
      </c>
    </row>
    <row r="5" spans="1:14" ht="14" x14ac:dyDescent="0.2">
      <c r="A5" s="28">
        <v>43129.007233796299</v>
      </c>
      <c r="B5" s="29" t="s">
        <v>44</v>
      </c>
      <c r="C5" s="30" t="s">
        <v>18</v>
      </c>
      <c r="D5" s="31">
        <v>81322260653</v>
      </c>
      <c r="E5" s="29" t="s">
        <v>66</v>
      </c>
      <c r="F5" s="29" t="s">
        <v>35</v>
      </c>
      <c r="G5" s="32">
        <v>0</v>
      </c>
      <c r="H5" s="33" t="s">
        <v>67</v>
      </c>
      <c r="I5" s="31">
        <v>8132122182</v>
      </c>
      <c r="J5" s="31">
        <v>8179289010</v>
      </c>
      <c r="K5" s="83" t="s">
        <v>68</v>
      </c>
      <c r="L5" s="29">
        <v>0</v>
      </c>
      <c r="M5" s="32">
        <v>43118</v>
      </c>
      <c r="N5" s="29" t="s">
        <v>43</v>
      </c>
    </row>
    <row r="6" spans="1:14" ht="14" x14ac:dyDescent="0.2">
      <c r="A6" s="28">
        <v>43129.014606481483</v>
      </c>
      <c r="B6" s="29" t="s">
        <v>44</v>
      </c>
      <c r="C6" s="30" t="s">
        <v>18</v>
      </c>
      <c r="D6" s="31">
        <v>81322260653</v>
      </c>
      <c r="E6" s="29" t="s">
        <v>69</v>
      </c>
      <c r="F6" s="29" t="s">
        <v>35</v>
      </c>
      <c r="G6" s="81">
        <v>25838</v>
      </c>
      <c r="H6" s="33" t="s">
        <v>70</v>
      </c>
      <c r="I6" s="31">
        <v>8122397450</v>
      </c>
      <c r="J6" s="31">
        <v>8122397450</v>
      </c>
      <c r="K6" s="83" t="s">
        <v>71</v>
      </c>
      <c r="L6" s="29">
        <v>0</v>
      </c>
      <c r="M6" s="32">
        <v>43104</v>
      </c>
      <c r="N6" s="29" t="s">
        <v>43</v>
      </c>
    </row>
    <row r="7" spans="1:14" x14ac:dyDescent="0.2">
      <c r="A7" s="28">
        <v>43134.721377314818</v>
      </c>
      <c r="B7" s="29" t="s">
        <v>44</v>
      </c>
      <c r="C7" s="30" t="s">
        <v>18</v>
      </c>
      <c r="D7" s="31">
        <v>81322260653</v>
      </c>
      <c r="E7" s="29" t="s">
        <v>84</v>
      </c>
      <c r="F7" s="29" t="s">
        <v>35</v>
      </c>
      <c r="G7" s="32">
        <v>0</v>
      </c>
      <c r="H7" s="33" t="s">
        <v>85</v>
      </c>
      <c r="I7" s="31">
        <v>81283224484</v>
      </c>
      <c r="J7" s="31">
        <v>81283224484</v>
      </c>
      <c r="K7" s="29">
        <v>0</v>
      </c>
      <c r="L7" s="82">
        <v>0</v>
      </c>
      <c r="M7" s="32">
        <v>42767</v>
      </c>
      <c r="N7" s="29" t="s">
        <v>43</v>
      </c>
    </row>
    <row r="8" spans="1:14" ht="28" x14ac:dyDescent="0.2">
      <c r="A8" s="28">
        <v>43134.725416666668</v>
      </c>
      <c r="B8" s="29" t="s">
        <v>44</v>
      </c>
      <c r="C8" s="30" t="s">
        <v>18</v>
      </c>
      <c r="D8" s="31">
        <v>81322260653</v>
      </c>
      <c r="E8" s="29" t="s">
        <v>86</v>
      </c>
      <c r="F8" s="29" t="s">
        <v>35</v>
      </c>
      <c r="G8" s="32">
        <v>0</v>
      </c>
      <c r="H8" s="33" t="s">
        <v>87</v>
      </c>
      <c r="I8" s="31">
        <v>0</v>
      </c>
      <c r="J8" s="31">
        <v>85213545977</v>
      </c>
      <c r="K8" s="29">
        <v>0</v>
      </c>
      <c r="L8" s="82">
        <v>0</v>
      </c>
      <c r="M8" s="32">
        <v>43125</v>
      </c>
      <c r="N8" s="29" t="s">
        <v>43</v>
      </c>
    </row>
    <row r="9" spans="1:14" ht="28" x14ac:dyDescent="0.2">
      <c r="A9" s="28">
        <v>43134.728900462964</v>
      </c>
      <c r="B9" s="29" t="s">
        <v>44</v>
      </c>
      <c r="C9" s="30" t="s">
        <v>18</v>
      </c>
      <c r="D9" s="31">
        <v>81322260653</v>
      </c>
      <c r="E9" s="29" t="s">
        <v>88</v>
      </c>
      <c r="F9" s="29" t="s">
        <v>35</v>
      </c>
      <c r="G9" s="32">
        <v>0</v>
      </c>
      <c r="H9" s="33" t="s">
        <v>89</v>
      </c>
      <c r="I9" s="31">
        <v>0</v>
      </c>
      <c r="J9" s="31">
        <v>85795673555</v>
      </c>
      <c r="K9" s="29">
        <v>0</v>
      </c>
      <c r="L9" s="82">
        <v>0</v>
      </c>
      <c r="M9" s="32">
        <v>43111</v>
      </c>
      <c r="N9" s="29" t="s">
        <v>43</v>
      </c>
    </row>
    <row r="10" spans="1:14" ht="28" x14ac:dyDescent="0.2">
      <c r="A10" s="28">
        <v>43134.731689814813</v>
      </c>
      <c r="B10" s="29" t="s">
        <v>44</v>
      </c>
      <c r="C10" s="30" t="s">
        <v>18</v>
      </c>
      <c r="D10" s="31">
        <v>81322260653</v>
      </c>
      <c r="E10" s="29" t="s">
        <v>91</v>
      </c>
      <c r="F10" s="29" t="s">
        <v>35</v>
      </c>
      <c r="G10" s="32">
        <v>0</v>
      </c>
      <c r="H10" s="33" t="s">
        <v>90</v>
      </c>
      <c r="I10" s="31">
        <v>0</v>
      </c>
      <c r="J10" s="31">
        <v>81395314545</v>
      </c>
      <c r="K10" s="29">
        <v>0</v>
      </c>
      <c r="L10" s="82">
        <v>0</v>
      </c>
      <c r="M10" s="32">
        <v>42746</v>
      </c>
      <c r="N10" s="29" t="s">
        <v>43</v>
      </c>
    </row>
    <row r="11" spans="1:14" x14ac:dyDescent="0.2">
      <c r="A11" s="28">
        <v>43136.358935185184</v>
      </c>
      <c r="B11" s="29" t="s">
        <v>44</v>
      </c>
      <c r="C11" s="30" t="s">
        <v>18</v>
      </c>
      <c r="D11" s="31">
        <v>81322260653</v>
      </c>
      <c r="E11" s="29" t="s">
        <v>92</v>
      </c>
      <c r="F11" s="29" t="s">
        <v>35</v>
      </c>
      <c r="G11" s="32">
        <v>0</v>
      </c>
      <c r="H11" s="33" t="s">
        <v>93</v>
      </c>
      <c r="I11" s="31">
        <v>81221616846</v>
      </c>
      <c r="J11" s="31">
        <v>0</v>
      </c>
      <c r="K11" s="29">
        <v>0</v>
      </c>
      <c r="L11" s="82">
        <v>0</v>
      </c>
      <c r="M11" s="32">
        <v>43132</v>
      </c>
      <c r="N11" s="29" t="s">
        <v>43</v>
      </c>
    </row>
    <row r="12" spans="1:14" x14ac:dyDescent="0.2">
      <c r="A12" s="28">
        <v>43134.738981481481</v>
      </c>
      <c r="B12" s="29" t="s">
        <v>44</v>
      </c>
      <c r="C12" s="30" t="s">
        <v>18</v>
      </c>
      <c r="D12" s="31">
        <v>81322260653</v>
      </c>
      <c r="E12" s="29" t="s">
        <v>95</v>
      </c>
      <c r="F12" s="29" t="s">
        <v>35</v>
      </c>
      <c r="G12" s="32">
        <v>43304</v>
      </c>
      <c r="H12" s="33" t="s">
        <v>96</v>
      </c>
      <c r="I12" s="31">
        <v>0</v>
      </c>
      <c r="J12" s="31">
        <v>811248495</v>
      </c>
      <c r="K12" s="83" t="s">
        <v>94</v>
      </c>
      <c r="L12" s="82">
        <v>0</v>
      </c>
      <c r="M12" s="32">
        <v>43101</v>
      </c>
      <c r="N12" s="29" t="s">
        <v>43</v>
      </c>
    </row>
    <row r="13" spans="1:14" x14ac:dyDescent="0.2">
      <c r="A13" s="28">
        <v>43134.740983796299</v>
      </c>
      <c r="B13" s="29" t="s">
        <v>44</v>
      </c>
      <c r="C13" s="30" t="s">
        <v>18</v>
      </c>
      <c r="D13" s="31">
        <v>81322260653</v>
      </c>
      <c r="E13" s="29" t="s">
        <v>97</v>
      </c>
      <c r="F13" s="29" t="s">
        <v>35</v>
      </c>
      <c r="G13" s="32">
        <v>0</v>
      </c>
      <c r="H13" s="33">
        <v>0</v>
      </c>
      <c r="I13" s="31">
        <v>0</v>
      </c>
      <c r="J13" s="31">
        <v>81320549014</v>
      </c>
      <c r="K13" s="29">
        <v>0</v>
      </c>
      <c r="L13" s="82">
        <v>0</v>
      </c>
      <c r="M13" s="32">
        <v>43104</v>
      </c>
      <c r="N13" s="29" t="s">
        <v>43</v>
      </c>
    </row>
    <row r="14" spans="1:14" x14ac:dyDescent="0.2">
      <c r="A14" s="28">
        <v>43138.903067129628</v>
      </c>
      <c r="B14" s="29" t="s">
        <v>44</v>
      </c>
      <c r="C14" s="30" t="s">
        <v>18</v>
      </c>
      <c r="D14" s="31">
        <v>81322260653</v>
      </c>
      <c r="E14" s="29" t="s">
        <v>103</v>
      </c>
      <c r="F14" s="29" t="s">
        <v>45</v>
      </c>
      <c r="G14" s="32">
        <v>0</v>
      </c>
      <c r="H14" s="33" t="s">
        <v>104</v>
      </c>
      <c r="I14" s="31">
        <v>0</v>
      </c>
      <c r="J14" s="31">
        <v>0</v>
      </c>
      <c r="K14" s="29">
        <v>0</v>
      </c>
      <c r="L14" s="82">
        <v>0</v>
      </c>
      <c r="M14" s="32">
        <v>43139</v>
      </c>
      <c r="N14" s="29" t="s">
        <v>43</v>
      </c>
    </row>
    <row r="15" spans="1:14" x14ac:dyDescent="0.2">
      <c r="A15" s="28">
        <v>43138.906307870369</v>
      </c>
      <c r="B15" s="29" t="s">
        <v>44</v>
      </c>
      <c r="C15" s="30" t="s">
        <v>18</v>
      </c>
      <c r="D15" s="31">
        <v>81322260653</v>
      </c>
      <c r="E15" s="29" t="s">
        <v>105</v>
      </c>
      <c r="F15" s="29" t="s">
        <v>35</v>
      </c>
      <c r="G15" s="32">
        <v>0</v>
      </c>
      <c r="H15" s="33" t="s">
        <v>106</v>
      </c>
      <c r="I15" s="31">
        <v>0</v>
      </c>
      <c r="J15" s="31">
        <v>87722668801</v>
      </c>
      <c r="K15" s="29">
        <v>0</v>
      </c>
      <c r="L15" s="82">
        <v>0</v>
      </c>
      <c r="M15" s="32">
        <v>43139</v>
      </c>
      <c r="N15" s="29" t="s">
        <v>43</v>
      </c>
    </row>
    <row r="16" spans="1:14" ht="28" x14ac:dyDescent="0.2">
      <c r="A16" s="28">
        <v>43126.97855324074</v>
      </c>
      <c r="B16" s="29" t="s">
        <v>44</v>
      </c>
      <c r="C16" s="30" t="s">
        <v>49</v>
      </c>
      <c r="D16" s="31">
        <v>2287341165</v>
      </c>
      <c r="E16" s="29" t="s">
        <v>50</v>
      </c>
      <c r="F16" s="29" t="s">
        <v>35</v>
      </c>
      <c r="G16" s="32">
        <v>25182</v>
      </c>
      <c r="H16" s="33" t="s">
        <v>51</v>
      </c>
      <c r="I16" s="31">
        <v>81312221480</v>
      </c>
      <c r="J16" s="31">
        <v>81312221480</v>
      </c>
      <c r="K16" s="83" t="s">
        <v>58</v>
      </c>
      <c r="L16" s="83" t="s">
        <v>52</v>
      </c>
      <c r="M16" s="32">
        <v>43040</v>
      </c>
      <c r="N16" s="29" t="s">
        <v>43</v>
      </c>
    </row>
    <row r="17" spans="1:14" ht="28" x14ac:dyDescent="0.2">
      <c r="A17" s="28">
        <v>43134.707083333335</v>
      </c>
      <c r="B17" s="29" t="s">
        <v>44</v>
      </c>
      <c r="C17" s="30" t="s">
        <v>49</v>
      </c>
      <c r="D17" s="31">
        <v>2287341165</v>
      </c>
      <c r="E17" s="29" t="s">
        <v>72</v>
      </c>
      <c r="F17" s="29" t="s">
        <v>35</v>
      </c>
      <c r="G17" s="32">
        <v>0</v>
      </c>
      <c r="H17" s="33" t="s">
        <v>51</v>
      </c>
      <c r="I17" s="31">
        <v>0</v>
      </c>
      <c r="J17" s="31">
        <v>0</v>
      </c>
      <c r="K17" s="29">
        <v>0</v>
      </c>
      <c r="L17" s="82">
        <v>0</v>
      </c>
      <c r="M17" s="32" t="s">
        <v>73</v>
      </c>
      <c r="N17" s="29" t="s">
        <v>43</v>
      </c>
    </row>
    <row r="18" spans="1:14" ht="28" x14ac:dyDescent="0.2">
      <c r="A18" s="28">
        <v>43134.707951388889</v>
      </c>
      <c r="B18" s="29" t="s">
        <v>44</v>
      </c>
      <c r="C18" s="30" t="s">
        <v>49</v>
      </c>
      <c r="D18" s="31">
        <v>2287341165</v>
      </c>
      <c r="E18" s="29" t="s">
        <v>74</v>
      </c>
      <c r="F18" s="29" t="s">
        <v>35</v>
      </c>
      <c r="G18" s="32">
        <v>0</v>
      </c>
      <c r="H18" s="33" t="s">
        <v>51</v>
      </c>
      <c r="I18" s="31">
        <v>0</v>
      </c>
      <c r="J18" s="31">
        <v>0</v>
      </c>
      <c r="K18" s="29">
        <v>0</v>
      </c>
      <c r="L18" s="82">
        <v>0</v>
      </c>
      <c r="M18" s="32" t="s">
        <v>73</v>
      </c>
      <c r="N18" s="29" t="s">
        <v>43</v>
      </c>
    </row>
    <row r="19" spans="1:14" ht="28" x14ac:dyDescent="0.2">
      <c r="A19" s="28">
        <v>43134.708437499998</v>
      </c>
      <c r="B19" s="29" t="s">
        <v>44</v>
      </c>
      <c r="C19" s="30" t="s">
        <v>49</v>
      </c>
      <c r="D19" s="31">
        <v>2287341165</v>
      </c>
      <c r="E19" s="29" t="s">
        <v>75</v>
      </c>
      <c r="F19" s="29" t="s">
        <v>35</v>
      </c>
      <c r="G19" s="32">
        <v>0</v>
      </c>
      <c r="H19" s="33" t="s">
        <v>51</v>
      </c>
      <c r="I19" s="31">
        <v>0</v>
      </c>
      <c r="J19" s="31">
        <v>0</v>
      </c>
      <c r="K19" s="29">
        <v>0</v>
      </c>
      <c r="L19" s="82">
        <v>0</v>
      </c>
      <c r="M19" s="32" t="s">
        <v>73</v>
      </c>
      <c r="N19" s="29" t="s">
        <v>43</v>
      </c>
    </row>
    <row r="20" spans="1:14" ht="28" x14ac:dyDescent="0.2">
      <c r="A20" s="28">
        <v>43134.710150462961</v>
      </c>
      <c r="B20" s="29" t="s">
        <v>44</v>
      </c>
      <c r="C20" s="30" t="s">
        <v>49</v>
      </c>
      <c r="D20" s="31">
        <v>2287341165</v>
      </c>
      <c r="E20" s="29" t="s">
        <v>76</v>
      </c>
      <c r="F20" s="29" t="s">
        <v>35</v>
      </c>
      <c r="G20" s="32">
        <v>0</v>
      </c>
      <c r="H20" s="33" t="s">
        <v>51</v>
      </c>
      <c r="I20" s="31">
        <v>0</v>
      </c>
      <c r="J20" s="31">
        <v>81931400269</v>
      </c>
      <c r="K20" s="29">
        <v>0</v>
      </c>
      <c r="L20" s="82">
        <v>0</v>
      </c>
      <c r="M20" s="32" t="s">
        <v>73</v>
      </c>
      <c r="N20" s="29" t="s">
        <v>43</v>
      </c>
    </row>
    <row r="21" spans="1:14" ht="28" x14ac:dyDescent="0.2">
      <c r="A21" s="28">
        <v>43134.7109375</v>
      </c>
      <c r="B21" s="29" t="s">
        <v>44</v>
      </c>
      <c r="C21" s="30" t="s">
        <v>49</v>
      </c>
      <c r="D21" s="31">
        <v>2287341165</v>
      </c>
      <c r="E21" s="29" t="s">
        <v>77</v>
      </c>
      <c r="F21" s="29" t="s">
        <v>35</v>
      </c>
      <c r="G21" s="32">
        <v>0</v>
      </c>
      <c r="H21" s="33" t="s">
        <v>51</v>
      </c>
      <c r="I21" s="31">
        <v>0</v>
      </c>
      <c r="J21" s="31">
        <v>0</v>
      </c>
      <c r="K21" s="29">
        <v>0</v>
      </c>
      <c r="L21" s="82">
        <v>0</v>
      </c>
      <c r="M21" s="32" t="s">
        <v>73</v>
      </c>
      <c r="N21" s="29" t="s">
        <v>43</v>
      </c>
    </row>
    <row r="22" spans="1:14" ht="28" x14ac:dyDescent="0.2">
      <c r="A22" s="28">
        <v>43134.711493055554</v>
      </c>
      <c r="B22" s="29" t="s">
        <v>44</v>
      </c>
      <c r="C22" s="30" t="s">
        <v>49</v>
      </c>
      <c r="D22" s="31">
        <v>2287341165</v>
      </c>
      <c r="E22" s="29" t="s">
        <v>78</v>
      </c>
      <c r="F22" s="29" t="s">
        <v>35</v>
      </c>
      <c r="G22" s="32">
        <v>0</v>
      </c>
      <c r="H22" s="33" t="s">
        <v>51</v>
      </c>
      <c r="I22" s="31">
        <v>0</v>
      </c>
      <c r="J22" s="31">
        <v>0</v>
      </c>
      <c r="K22" s="29">
        <v>0</v>
      </c>
      <c r="L22" s="82">
        <v>0</v>
      </c>
      <c r="M22" s="32" t="s">
        <v>73</v>
      </c>
      <c r="N22" s="29" t="s">
        <v>43</v>
      </c>
    </row>
    <row r="23" spans="1:14" ht="28" x14ac:dyDescent="0.2">
      <c r="A23" s="28">
        <v>43134.713379629633</v>
      </c>
      <c r="B23" s="29" t="s">
        <v>44</v>
      </c>
      <c r="C23" s="30" t="s">
        <v>49</v>
      </c>
      <c r="D23" s="31">
        <v>2287341165</v>
      </c>
      <c r="E23" s="29" t="s">
        <v>79</v>
      </c>
      <c r="F23" s="29" t="s">
        <v>35</v>
      </c>
      <c r="G23" s="32">
        <v>0</v>
      </c>
      <c r="H23" s="33" t="s">
        <v>51</v>
      </c>
      <c r="I23" s="31">
        <v>0</v>
      </c>
      <c r="J23" s="31">
        <v>0</v>
      </c>
      <c r="K23" s="29">
        <v>0</v>
      </c>
      <c r="L23" s="82">
        <v>0</v>
      </c>
      <c r="M23" s="32" t="s">
        <v>73</v>
      </c>
      <c r="N23" s="29" t="s">
        <v>43</v>
      </c>
    </row>
    <row r="24" spans="1:14" ht="28" x14ac:dyDescent="0.2">
      <c r="A24" s="28">
        <v>43134.713796296295</v>
      </c>
      <c r="B24" s="29" t="s">
        <v>44</v>
      </c>
      <c r="C24" s="30" t="s">
        <v>49</v>
      </c>
      <c r="D24" s="31">
        <v>2287341165</v>
      </c>
      <c r="E24" s="29" t="s">
        <v>20</v>
      </c>
      <c r="F24" s="29" t="s">
        <v>45</v>
      </c>
      <c r="G24" s="32">
        <v>0</v>
      </c>
      <c r="H24" s="33" t="s">
        <v>51</v>
      </c>
      <c r="I24" s="31">
        <v>0</v>
      </c>
      <c r="J24" s="31">
        <v>0</v>
      </c>
      <c r="K24" s="29">
        <v>0</v>
      </c>
      <c r="L24" s="82">
        <v>0</v>
      </c>
      <c r="M24" s="32" t="s">
        <v>73</v>
      </c>
      <c r="N24" s="29" t="s">
        <v>43</v>
      </c>
    </row>
    <row r="25" spans="1:14" ht="28" x14ac:dyDescent="0.2">
      <c r="A25" s="28">
        <v>43134.714270833334</v>
      </c>
      <c r="B25" s="29" t="s">
        <v>44</v>
      </c>
      <c r="C25" s="30" t="s">
        <v>49</v>
      </c>
      <c r="D25" s="31">
        <v>2287341165</v>
      </c>
      <c r="E25" s="29" t="s">
        <v>80</v>
      </c>
      <c r="F25" s="29" t="s">
        <v>45</v>
      </c>
      <c r="G25" s="32">
        <v>0</v>
      </c>
      <c r="H25" s="33" t="s">
        <v>51</v>
      </c>
      <c r="I25" s="31">
        <v>0</v>
      </c>
      <c r="J25" s="31">
        <v>0</v>
      </c>
      <c r="K25" s="29">
        <v>0</v>
      </c>
      <c r="L25" s="82">
        <v>0</v>
      </c>
      <c r="M25" s="32" t="s">
        <v>73</v>
      </c>
      <c r="N25" s="29" t="s">
        <v>43</v>
      </c>
    </row>
    <row r="26" spans="1:14" ht="28" x14ac:dyDescent="0.2">
      <c r="A26" s="28">
        <v>43134.716296296298</v>
      </c>
      <c r="B26" s="29" t="s">
        <v>44</v>
      </c>
      <c r="C26" s="30" t="s">
        <v>49</v>
      </c>
      <c r="D26" s="31">
        <v>2287341165</v>
      </c>
      <c r="E26" s="29" t="s">
        <v>81</v>
      </c>
      <c r="F26" s="29">
        <v>0</v>
      </c>
      <c r="G26" s="32">
        <v>0</v>
      </c>
      <c r="H26" s="33" t="s">
        <v>51</v>
      </c>
      <c r="I26" s="31">
        <v>2287341165</v>
      </c>
      <c r="J26" s="31">
        <v>0</v>
      </c>
      <c r="K26" s="29">
        <v>0</v>
      </c>
      <c r="L26" s="82">
        <v>0</v>
      </c>
      <c r="M26" s="32" t="s">
        <v>73</v>
      </c>
      <c r="N26" s="29" t="s">
        <v>43</v>
      </c>
    </row>
    <row r="27" spans="1:14" x14ac:dyDescent="0.2">
      <c r="A27" s="28">
        <v>43134.717083333337</v>
      </c>
      <c r="B27" s="29" t="s">
        <v>44</v>
      </c>
      <c r="C27" s="30" t="s">
        <v>49</v>
      </c>
      <c r="D27" s="31">
        <v>2287341165</v>
      </c>
      <c r="E27" s="29" t="s">
        <v>82</v>
      </c>
      <c r="F27" s="29">
        <v>0</v>
      </c>
      <c r="G27" s="32">
        <v>0</v>
      </c>
      <c r="H27" s="33" t="s">
        <v>83</v>
      </c>
      <c r="I27" s="31">
        <v>0</v>
      </c>
      <c r="J27" s="31">
        <v>0</v>
      </c>
      <c r="K27" s="29">
        <v>0</v>
      </c>
      <c r="L27" s="82">
        <v>0</v>
      </c>
      <c r="M27" s="32" t="s">
        <v>73</v>
      </c>
      <c r="N27" s="29" t="s">
        <v>43</v>
      </c>
    </row>
  </sheetData>
  <sortState ref="A2:N27">
    <sortCondition ref="C2"/>
  </sortState>
  <phoneticPr fontId="3" type="noConversion"/>
  <conditionalFormatting sqref="A2:N1009">
    <cfRule type="notContainsBlanks" dxfId="2" priority="1">
      <formula>LEN(TRIM(A2))&gt;0</formula>
    </cfRule>
  </conditionalFormatting>
  <hyperlinks>
    <hyperlink ref="K3" r:id="rId1" display="http://facebook.com/ani.herningsih"/>
    <hyperlink ref="K2" r:id="rId2"/>
    <hyperlink ref="K16" r:id="rId3"/>
    <hyperlink ref="L2" r:id="rId4"/>
    <hyperlink ref="L16" r:id="rId5"/>
    <hyperlink ref="K4" r:id="rId6"/>
    <hyperlink ref="K5" r:id="rId7"/>
    <hyperlink ref="K6" r:id="rId8"/>
    <hyperlink ref="K12" r:id="rId9"/>
  </hyperlinks>
  <pageMargins left="0.75" right="0.75" top="1" bottom="1" header="0.5" footer="0.5"/>
  <pageSetup orientation="portrait" r:id="rId10"/>
  <headerFooter alignWithMargins="0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Link" enableFormatConditionsCalculation="0"/>
  <dimension ref="A1:L10"/>
  <sheetViews>
    <sheetView showGridLines="0" workbookViewId="0">
      <selection activeCell="F16" sqref="F16"/>
    </sheetView>
  </sheetViews>
  <sheetFormatPr baseColWidth="10" defaultColWidth="9" defaultRowHeight="14" x14ac:dyDescent="0.2"/>
  <cols>
    <col min="1" max="1" width="33.19921875" style="23" customWidth="1"/>
    <col min="2" max="12" width="19.796875" style="23" customWidth="1"/>
    <col min="13" max="16384" width="9" style="24"/>
  </cols>
  <sheetData>
    <row r="1" spans="1:12" ht="15" thickBot="1" x14ac:dyDescent="0.25">
      <c r="A1" s="23" t="s">
        <v>13</v>
      </c>
      <c r="C1" s="23" t="s">
        <v>16</v>
      </c>
    </row>
    <row r="2" spans="1:12" ht="16" thickTop="1" thickBot="1" x14ac:dyDescent="0.25">
      <c r="A2" s="65">
        <f>MATCH(A5,PartsData!1:1,0)</f>
        <v>3</v>
      </c>
      <c r="C2" s="65">
        <f ca="1">SUM(9:9)</f>
        <v>3</v>
      </c>
    </row>
    <row r="3" spans="1:12" ht="15" thickTop="1" x14ac:dyDescent="0.2"/>
    <row r="4" spans="1:12" x14ac:dyDescent="0.2">
      <c r="A4" s="25" t="s">
        <v>4</v>
      </c>
      <c r="B4" s="25" t="s">
        <v>5</v>
      </c>
      <c r="C4" s="25" t="s">
        <v>6</v>
      </c>
      <c r="D4" s="25" t="s">
        <v>7</v>
      </c>
      <c r="E4" s="25" t="s">
        <v>8</v>
      </c>
      <c r="F4" s="25" t="s">
        <v>9</v>
      </c>
      <c r="G4" s="25" t="s">
        <v>36</v>
      </c>
      <c r="H4" s="25" t="s">
        <v>37</v>
      </c>
      <c r="I4" s="25" t="s">
        <v>38</v>
      </c>
      <c r="J4" s="25" t="s">
        <v>39</v>
      </c>
      <c r="K4" s="25" t="s">
        <v>40</v>
      </c>
      <c r="L4" s="25" t="s">
        <v>41</v>
      </c>
    </row>
    <row r="5" spans="1:12" ht="15" thickBot="1" x14ac:dyDescent="0.25">
      <c r="A5" s="26" t="str">
        <f>PartsData!C1</f>
        <v>Nama Kontak Selaras Semesta</v>
      </c>
      <c r="B5" s="26" t="str">
        <f>PartsData!D1</f>
        <v>Nomor HP Kontak</v>
      </c>
      <c r="C5" s="26" t="str">
        <f>PartsData!E1</f>
        <v>Nama Pembeli</v>
      </c>
      <c r="D5" s="26" t="str">
        <f>PartsData!F1</f>
        <v>Jenis Kelamin</v>
      </c>
      <c r="E5" s="26" t="str">
        <f>PartsData!G1</f>
        <v>Tanggal Lahir</v>
      </c>
      <c r="F5" s="26" t="str">
        <f>PartsData!H1</f>
        <v>Alamat</v>
      </c>
      <c r="G5" s="26" t="str">
        <f>PartsData!I1</f>
        <v>Nomor HP Pembeli</v>
      </c>
      <c r="H5" s="26" t="str">
        <f>PartsData!J1</f>
        <v>WA</v>
      </c>
      <c r="I5" s="26" t="str">
        <f>PartsData!K1</f>
        <v>Facebook</v>
      </c>
      <c r="J5" s="26" t="str">
        <f>PartsData!L1</f>
        <v>Email</v>
      </c>
      <c r="K5" s="26" t="str">
        <f>PartsData!M1</f>
        <v>Tanggal Bergabung</v>
      </c>
      <c r="L5" s="26" t="str">
        <f>PartsData!N1</f>
        <v>Status</v>
      </c>
    </row>
    <row r="6" spans="1:12" ht="16" thickTop="1" thickBot="1" x14ac:dyDescent="0.25">
      <c r="A6" s="66">
        <f t="shared" ref="A6:L6" ca="1" si="0">INDIRECT("Input!"&amp;A4)</f>
        <v>0</v>
      </c>
      <c r="B6" s="67">
        <f t="shared" ca="1" si="0"/>
        <v>0</v>
      </c>
      <c r="C6" s="68">
        <f t="shared" ca="1" si="0"/>
        <v>0</v>
      </c>
      <c r="D6" s="68">
        <f t="shared" ca="1" si="0"/>
        <v>0</v>
      </c>
      <c r="E6" s="68">
        <f t="shared" ca="1" si="0"/>
        <v>0</v>
      </c>
      <c r="F6" s="68">
        <f t="shared" ca="1" si="0"/>
        <v>0</v>
      </c>
      <c r="G6" s="67">
        <f t="shared" ca="1" si="0"/>
        <v>0</v>
      </c>
      <c r="H6" s="67">
        <f t="shared" ca="1" si="0"/>
        <v>0</v>
      </c>
      <c r="I6" s="66">
        <f t="shared" ca="1" si="0"/>
        <v>0</v>
      </c>
      <c r="J6" s="66">
        <f t="shared" ca="1" si="0"/>
        <v>0</v>
      </c>
      <c r="K6" s="69">
        <f t="shared" ca="1" si="0"/>
        <v>0</v>
      </c>
      <c r="L6" s="66">
        <f t="shared" ca="1" si="0"/>
        <v>0</v>
      </c>
    </row>
    <row r="7" spans="1:12" ht="15" thickTop="1" x14ac:dyDescent="0.2"/>
    <row r="8" spans="1:12" ht="15" thickBot="1" x14ac:dyDescent="0.25">
      <c r="A8" s="23" t="s">
        <v>15</v>
      </c>
    </row>
    <row r="9" spans="1:12" ht="16" thickTop="1" thickBot="1" x14ac:dyDescent="0.25">
      <c r="A9" s="70">
        <f t="shared" ref="A9:L9" ca="1" si="1">OFFSET(INDIRECT("Input!"&amp;A4),0,2)</f>
        <v>1</v>
      </c>
      <c r="B9" s="70">
        <f t="shared" ca="1" si="1"/>
        <v>1</v>
      </c>
      <c r="C9" s="70" t="str">
        <f t="shared" ca="1" si="1"/>
        <v/>
      </c>
      <c r="D9" s="70">
        <f t="shared" ca="1" si="1"/>
        <v>1</v>
      </c>
      <c r="E9" s="70">
        <f t="shared" ca="1" si="1"/>
        <v>0</v>
      </c>
      <c r="F9" s="70">
        <f t="shared" ca="1" si="1"/>
        <v>0</v>
      </c>
      <c r="G9" s="70">
        <f t="shared" ca="1" si="1"/>
        <v>0</v>
      </c>
      <c r="H9" s="70">
        <f t="shared" ca="1" si="1"/>
        <v>0</v>
      </c>
      <c r="I9" s="70">
        <f t="shared" ca="1" si="1"/>
        <v>0</v>
      </c>
      <c r="J9" s="70">
        <f t="shared" ca="1" si="1"/>
        <v>0</v>
      </c>
      <c r="K9" s="70">
        <f t="shared" ca="1" si="1"/>
        <v>0</v>
      </c>
      <c r="L9" s="70">
        <f t="shared" ca="1" si="1"/>
        <v>0</v>
      </c>
    </row>
    <row r="10" spans="1:12" ht="15" thickTop="1" x14ac:dyDescent="0.2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elRec" enableFormatConditionsCalculation="0"/>
  <dimension ref="B1:D16"/>
  <sheetViews>
    <sheetView showGridLines="0" workbookViewId="0">
      <selection activeCell="D4" sqref="D4"/>
    </sheetView>
  </sheetViews>
  <sheetFormatPr baseColWidth="10" defaultColWidth="9" defaultRowHeight="14" x14ac:dyDescent="0.25"/>
  <cols>
    <col min="1" max="1" width="3.59765625" style="16" customWidth="1"/>
    <col min="2" max="2" width="28" style="16" bestFit="1" customWidth="1"/>
    <col min="3" max="3" width="7.19921875" style="16" bestFit="1" customWidth="1"/>
    <col min="4" max="4" width="35.19921875" style="16" bestFit="1" customWidth="1"/>
    <col min="5" max="7" width="2.19921875" style="16" customWidth="1"/>
    <col min="8" max="16384" width="9" style="16"/>
  </cols>
  <sheetData>
    <row r="1" spans="2:4" ht="16" thickTop="1" thickBot="1" x14ac:dyDescent="0.3">
      <c r="B1" s="16" t="s">
        <v>14</v>
      </c>
      <c r="C1" s="60">
        <f>CurrRec+1</f>
        <v>1</v>
      </c>
    </row>
    <row r="2" spans="2:4" ht="16" thickTop="1" thickBot="1" x14ac:dyDescent="0.3"/>
    <row r="3" spans="2:4" ht="16" thickTop="1" thickBot="1" x14ac:dyDescent="0.3">
      <c r="B3" s="61" t="s">
        <v>10</v>
      </c>
      <c r="C3" s="61" t="s">
        <v>11</v>
      </c>
      <c r="D3" s="61" t="s">
        <v>12</v>
      </c>
    </row>
    <row r="4" spans="2:4" ht="16" thickTop="1" thickBot="1" x14ac:dyDescent="0.3">
      <c r="B4" s="62" t="str">
        <f>Input!B5</f>
        <v>Nama Kontak Selaras Semesta</v>
      </c>
      <c r="C4" s="63">
        <f>MATCH(B4,PartsData!$1:$1,0)</f>
        <v>3</v>
      </c>
      <c r="D4" s="64" t="str">
        <f t="shared" ref="D4:D15" si="0">IF(DB_Row=1,"",IF(INDEX(PartsDatabase,DB_Row,C4)="","",INDEX(PartsDatabase,DB_Row,C4)))</f>
        <v/>
      </c>
    </row>
    <row r="5" spans="2:4" ht="16" thickTop="1" thickBot="1" x14ac:dyDescent="0.3">
      <c r="B5" s="62" t="str">
        <f>Input!B6</f>
        <v>Nomor HP Kontak</v>
      </c>
      <c r="C5" s="63">
        <f>MATCH(B5,PartsData!$1:$1,0)</f>
        <v>4</v>
      </c>
      <c r="D5" s="64" t="str">
        <f t="shared" si="0"/>
        <v/>
      </c>
    </row>
    <row r="6" spans="2:4" ht="16" thickTop="1" thickBot="1" x14ac:dyDescent="0.3">
      <c r="B6" s="62" t="str">
        <f>Input!B7</f>
        <v>Nama Pembeli</v>
      </c>
      <c r="C6" s="63">
        <f>MATCH(B6,PartsData!$1:$1,0)</f>
        <v>5</v>
      </c>
      <c r="D6" s="64" t="str">
        <f t="shared" si="0"/>
        <v/>
      </c>
    </row>
    <row r="7" spans="2:4" ht="16" thickTop="1" thickBot="1" x14ac:dyDescent="0.3">
      <c r="B7" s="62" t="str">
        <f>Input!B8</f>
        <v>Jenis Kelamin</v>
      </c>
      <c r="C7" s="63">
        <f>MATCH(B7,PartsData!$1:$1,0)</f>
        <v>6</v>
      </c>
      <c r="D7" s="64" t="str">
        <f t="shared" si="0"/>
        <v/>
      </c>
    </row>
    <row r="8" spans="2:4" ht="16" thickTop="1" thickBot="1" x14ac:dyDescent="0.3">
      <c r="B8" s="62" t="str">
        <f>Input!B9</f>
        <v>Tanggal Lahir</v>
      </c>
      <c r="C8" s="63">
        <f>MATCH(B8,PartsData!$1:$1,0)</f>
        <v>7</v>
      </c>
      <c r="D8" s="64" t="str">
        <f t="shared" si="0"/>
        <v/>
      </c>
    </row>
    <row r="9" spans="2:4" ht="16" thickTop="1" thickBot="1" x14ac:dyDescent="0.3">
      <c r="B9" s="62" t="str">
        <f>Input!B10</f>
        <v>Alamat</v>
      </c>
      <c r="C9" s="63">
        <f>MATCH(B9,PartsData!$1:$1,0)</f>
        <v>8</v>
      </c>
      <c r="D9" s="64" t="str">
        <f t="shared" si="0"/>
        <v/>
      </c>
    </row>
    <row r="10" spans="2:4" ht="16" thickTop="1" thickBot="1" x14ac:dyDescent="0.3">
      <c r="B10" s="62" t="str">
        <f>Input!B11</f>
        <v>Nomor HP Pembeli</v>
      </c>
      <c r="C10" s="63">
        <f>MATCH(B10,PartsData!$1:$1,0)</f>
        <v>9</v>
      </c>
      <c r="D10" s="64" t="str">
        <f t="shared" si="0"/>
        <v/>
      </c>
    </row>
    <row r="11" spans="2:4" ht="16" thickTop="1" thickBot="1" x14ac:dyDescent="0.3">
      <c r="B11" s="62" t="str">
        <f>Input!B12</f>
        <v>WA</v>
      </c>
      <c r="C11" s="63">
        <f>MATCH(B11,PartsData!$1:$1,0)</f>
        <v>10</v>
      </c>
      <c r="D11" s="64" t="str">
        <f t="shared" si="0"/>
        <v/>
      </c>
    </row>
    <row r="12" spans="2:4" ht="16" thickTop="1" thickBot="1" x14ac:dyDescent="0.3">
      <c r="B12" s="62" t="str">
        <f>Input!B13</f>
        <v>Facebook</v>
      </c>
      <c r="C12" s="63">
        <f>MATCH(B12,PartsData!$1:$1,0)</f>
        <v>11</v>
      </c>
      <c r="D12" s="64" t="str">
        <f t="shared" si="0"/>
        <v/>
      </c>
    </row>
    <row r="13" spans="2:4" ht="16" thickTop="1" thickBot="1" x14ac:dyDescent="0.3">
      <c r="B13" s="62" t="str">
        <f>Input!B14</f>
        <v>Email</v>
      </c>
      <c r="C13" s="63">
        <f>MATCH(B13,PartsData!$1:$1,0)</f>
        <v>12</v>
      </c>
      <c r="D13" s="64" t="str">
        <f t="shared" si="0"/>
        <v/>
      </c>
    </row>
    <row r="14" spans="2:4" ht="16" thickTop="1" thickBot="1" x14ac:dyDescent="0.3">
      <c r="B14" s="62" t="str">
        <f>Input!B15</f>
        <v>Tanggal Bergabung</v>
      </c>
      <c r="C14" s="63">
        <f>MATCH(B14,PartsData!$1:$1,0)</f>
        <v>13</v>
      </c>
      <c r="D14" s="64" t="str">
        <f t="shared" si="0"/>
        <v/>
      </c>
    </row>
    <row r="15" spans="2:4" ht="16" thickTop="1" thickBot="1" x14ac:dyDescent="0.3">
      <c r="B15" s="62" t="str">
        <f>Input!B16</f>
        <v>Status</v>
      </c>
      <c r="C15" s="63">
        <f>MATCH(B15,PartsData!$1:$1,0)</f>
        <v>14</v>
      </c>
      <c r="D15" s="64" t="str">
        <f t="shared" si="0"/>
        <v/>
      </c>
    </row>
    <row r="16" spans="2:4" ht="1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M1000"/>
  <sheetViews>
    <sheetView showGridLines="0" topLeftCell="A7" workbookViewId="0">
      <selection activeCell="B4" sqref="B4"/>
    </sheetView>
  </sheetViews>
  <sheetFormatPr baseColWidth="10" defaultColWidth="9" defaultRowHeight="16" x14ac:dyDescent="0.2"/>
  <cols>
    <col min="1" max="1" width="4" style="23" bestFit="1" customWidth="1"/>
    <col min="2" max="2" width="28.796875" customWidth="1"/>
    <col min="3" max="3" width="29.796875" style="94" customWidth="1"/>
    <col min="4" max="4" width="29.3984375" bestFit="1" customWidth="1"/>
    <col min="5" max="5" width="15.796875" customWidth="1"/>
    <col min="6" max="6" width="20.19921875" bestFit="1" customWidth="1"/>
    <col min="7" max="7" width="34.3984375" customWidth="1"/>
    <col min="8" max="8" width="14.796875" bestFit="1" customWidth="1"/>
    <col min="9" max="9" width="15.796875" customWidth="1"/>
    <col min="10" max="10" width="38.796875" bestFit="1" customWidth="1"/>
    <col min="11" max="11" width="20.796875" bestFit="1" customWidth="1"/>
    <col min="12" max="12" width="19.796875" bestFit="1" customWidth="1"/>
    <col min="13" max="13" width="15.796875" customWidth="1"/>
  </cols>
  <sheetData>
    <row r="2" spans="1:13" ht="36.75" customHeight="1" thickBot="1" x14ac:dyDescent="0.25">
      <c r="B2" s="90" t="s">
        <v>100</v>
      </c>
    </row>
    <row r="3" spans="1:13" ht="30" thickTop="1" thickBot="1" x14ac:dyDescent="0.25">
      <c r="B3" s="87" t="s">
        <v>22</v>
      </c>
      <c r="C3" s="88" t="s">
        <v>25</v>
      </c>
      <c r="D3" s="88" t="s">
        <v>34</v>
      </c>
    </row>
    <row r="4" spans="1:13" ht="18" thickTop="1" thickBot="1" x14ac:dyDescent="0.25">
      <c r="B4" s="89" t="s">
        <v>18</v>
      </c>
      <c r="C4" s="89"/>
      <c r="D4" s="97" t="s">
        <v>43</v>
      </c>
    </row>
    <row r="5" spans="1:13" ht="17" thickTop="1" x14ac:dyDescent="0.2"/>
    <row r="6" spans="1:13" x14ac:dyDescent="0.2">
      <c r="B6" s="91" t="s">
        <v>101</v>
      </c>
      <c r="C6" s="93">
        <f>COUNTIF(M:M,"Konsumen")</f>
        <v>13</v>
      </c>
    </row>
    <row r="7" spans="1:13" ht="47.25" customHeight="1" x14ac:dyDescent="0.2">
      <c r="B7" s="91" t="s">
        <v>102</v>
      </c>
      <c r="C7" s="93">
        <f>COUNTIF(M:M,"Reseller")</f>
        <v>0</v>
      </c>
    </row>
    <row r="8" spans="1:13" ht="18" customHeight="1" x14ac:dyDescent="0.2"/>
    <row r="9" spans="1:13" s="1" customFormat="1" ht="28" x14ac:dyDescent="0.2">
      <c r="A9" s="92" t="str">
        <f>IF(LEN(B9)&lt;&gt;0,"No.","")</f>
        <v>No.</v>
      </c>
      <c r="B9" s="53" t="s">
        <v>22</v>
      </c>
      <c r="C9" s="54" t="s">
        <v>24</v>
      </c>
      <c r="D9" s="55" t="s">
        <v>25</v>
      </c>
      <c r="E9" s="55" t="s">
        <v>26</v>
      </c>
      <c r="F9" s="56" t="s">
        <v>27</v>
      </c>
      <c r="G9" s="53" t="s">
        <v>28</v>
      </c>
      <c r="H9" s="54" t="s">
        <v>29</v>
      </c>
      <c r="I9" s="54" t="s">
        <v>30</v>
      </c>
      <c r="J9" s="55" t="s">
        <v>31</v>
      </c>
      <c r="K9" s="55" t="s">
        <v>32</v>
      </c>
      <c r="L9" s="57" t="s">
        <v>33</v>
      </c>
      <c r="M9" s="55" t="s">
        <v>34</v>
      </c>
    </row>
    <row r="10" spans="1:13" x14ac:dyDescent="0.2">
      <c r="A10" s="23">
        <f t="shared" ref="A10:A73" si="0">IF(LEN(B10)&lt;&gt;0,ROW()-9,"")</f>
        <v>1</v>
      </c>
      <c r="B10" s="30" t="s">
        <v>18</v>
      </c>
      <c r="C10" s="31">
        <v>81322260653</v>
      </c>
      <c r="D10" s="29" t="s">
        <v>61</v>
      </c>
      <c r="E10" s="29" t="s">
        <v>45</v>
      </c>
      <c r="F10" s="32">
        <v>27475</v>
      </c>
      <c r="G10" s="33" t="s">
        <v>46</v>
      </c>
      <c r="H10" s="31">
        <v>81322622881</v>
      </c>
      <c r="I10" s="31">
        <v>8112311523</v>
      </c>
      <c r="J10" s="83" t="s">
        <v>57</v>
      </c>
      <c r="K10" s="83" t="s">
        <v>56</v>
      </c>
      <c r="L10" s="32">
        <v>43132</v>
      </c>
      <c r="M10" s="29" t="s">
        <v>43</v>
      </c>
    </row>
    <row r="11" spans="1:13" ht="42" x14ac:dyDescent="0.2">
      <c r="A11" s="23">
        <f t="shared" si="0"/>
        <v>2</v>
      </c>
      <c r="B11" s="30" t="s">
        <v>18</v>
      </c>
      <c r="C11" s="31">
        <v>81322260653</v>
      </c>
      <c r="D11" s="29" t="s">
        <v>48</v>
      </c>
      <c r="E11" s="29" t="s">
        <v>35</v>
      </c>
      <c r="F11" s="32">
        <v>22640</v>
      </c>
      <c r="G11" s="33" t="s">
        <v>55</v>
      </c>
      <c r="H11" s="31">
        <v>81212228690</v>
      </c>
      <c r="I11" s="31">
        <v>85861113838</v>
      </c>
      <c r="J11" s="83" t="s">
        <v>59</v>
      </c>
      <c r="K11" s="29">
        <v>0</v>
      </c>
      <c r="L11" s="32">
        <v>43104</v>
      </c>
      <c r="M11" s="29" t="s">
        <v>43</v>
      </c>
    </row>
    <row r="12" spans="1:13" x14ac:dyDescent="0.2">
      <c r="A12" s="23">
        <f t="shared" si="0"/>
        <v>3</v>
      </c>
      <c r="B12" s="30" t="s">
        <v>18</v>
      </c>
      <c r="C12" s="31">
        <v>81322260653</v>
      </c>
      <c r="D12" s="29" t="s">
        <v>63</v>
      </c>
      <c r="E12" s="29" t="s">
        <v>35</v>
      </c>
      <c r="F12" s="32">
        <v>43328</v>
      </c>
      <c r="G12" s="33" t="s">
        <v>65</v>
      </c>
      <c r="H12" s="31">
        <v>81220096778</v>
      </c>
      <c r="I12" s="31">
        <v>81220096778</v>
      </c>
      <c r="J12" s="83" t="s">
        <v>64</v>
      </c>
      <c r="K12" s="29">
        <v>0</v>
      </c>
      <c r="L12" s="32">
        <v>43104</v>
      </c>
      <c r="M12" s="29" t="s">
        <v>43</v>
      </c>
    </row>
    <row r="13" spans="1:13" x14ac:dyDescent="0.2">
      <c r="A13" s="23">
        <f t="shared" si="0"/>
        <v>4</v>
      </c>
      <c r="B13" s="30" t="s">
        <v>18</v>
      </c>
      <c r="C13" s="31">
        <v>81322260653</v>
      </c>
      <c r="D13" s="29" t="s">
        <v>66</v>
      </c>
      <c r="E13" s="29" t="s">
        <v>35</v>
      </c>
      <c r="F13" s="32">
        <v>0</v>
      </c>
      <c r="G13" s="33" t="s">
        <v>67</v>
      </c>
      <c r="H13" s="31">
        <v>8132122182</v>
      </c>
      <c r="I13" s="31">
        <v>8179289010</v>
      </c>
      <c r="J13" s="83" t="s">
        <v>68</v>
      </c>
      <c r="K13" s="29">
        <v>0</v>
      </c>
      <c r="L13" s="32">
        <v>43118</v>
      </c>
      <c r="M13" s="29" t="s">
        <v>43</v>
      </c>
    </row>
    <row r="14" spans="1:13" x14ac:dyDescent="0.2">
      <c r="A14" s="23">
        <f t="shared" si="0"/>
        <v>5</v>
      </c>
      <c r="B14" s="30" t="s">
        <v>18</v>
      </c>
      <c r="C14" s="31">
        <v>81322260653</v>
      </c>
      <c r="D14" s="29" t="s">
        <v>69</v>
      </c>
      <c r="E14" s="29" t="s">
        <v>35</v>
      </c>
      <c r="F14" s="81">
        <v>25838</v>
      </c>
      <c r="G14" s="33" t="s">
        <v>70</v>
      </c>
      <c r="H14" s="31">
        <v>8122397450</v>
      </c>
      <c r="I14" s="31">
        <v>8122397450</v>
      </c>
      <c r="J14" s="83" t="s">
        <v>71</v>
      </c>
      <c r="K14" s="29">
        <v>0</v>
      </c>
      <c r="L14" s="32">
        <v>43104</v>
      </c>
      <c r="M14" s="29" t="s">
        <v>43</v>
      </c>
    </row>
    <row r="15" spans="1:13" x14ac:dyDescent="0.2">
      <c r="A15" s="23">
        <f t="shared" si="0"/>
        <v>6</v>
      </c>
      <c r="B15" s="30" t="s">
        <v>18</v>
      </c>
      <c r="C15" s="31">
        <v>81322260653</v>
      </c>
      <c r="D15" s="29" t="s">
        <v>84</v>
      </c>
      <c r="E15" s="29" t="s">
        <v>35</v>
      </c>
      <c r="F15" s="32">
        <v>0</v>
      </c>
      <c r="G15" s="33" t="s">
        <v>85</v>
      </c>
      <c r="H15" s="31">
        <v>81283224484</v>
      </c>
      <c r="I15" s="31">
        <v>81283224484</v>
      </c>
      <c r="J15" s="29">
        <v>0</v>
      </c>
      <c r="K15" s="82">
        <v>0</v>
      </c>
      <c r="L15" s="32">
        <v>42767</v>
      </c>
      <c r="M15" s="29" t="s">
        <v>43</v>
      </c>
    </row>
    <row r="16" spans="1:13" ht="28" x14ac:dyDescent="0.2">
      <c r="A16" s="23">
        <f t="shared" si="0"/>
        <v>7</v>
      </c>
      <c r="B16" s="30" t="s">
        <v>18</v>
      </c>
      <c r="C16" s="31">
        <v>81322260653</v>
      </c>
      <c r="D16" s="29" t="s">
        <v>86</v>
      </c>
      <c r="E16" s="29" t="s">
        <v>35</v>
      </c>
      <c r="F16" s="32">
        <v>0</v>
      </c>
      <c r="G16" s="33" t="s">
        <v>87</v>
      </c>
      <c r="H16" s="31">
        <v>0</v>
      </c>
      <c r="I16" s="31">
        <v>85213545977</v>
      </c>
      <c r="J16" s="29">
        <v>0</v>
      </c>
      <c r="K16" s="82">
        <v>0</v>
      </c>
      <c r="L16" s="32">
        <v>43125</v>
      </c>
      <c r="M16" s="29" t="s">
        <v>43</v>
      </c>
    </row>
    <row r="17" spans="1:13" ht="28" x14ac:dyDescent="0.2">
      <c r="A17" s="23">
        <f t="shared" si="0"/>
        <v>8</v>
      </c>
      <c r="B17" s="30" t="s">
        <v>18</v>
      </c>
      <c r="C17" s="31">
        <v>81322260653</v>
      </c>
      <c r="D17" s="29" t="s">
        <v>88</v>
      </c>
      <c r="E17" s="29" t="s">
        <v>35</v>
      </c>
      <c r="F17" s="32">
        <v>0</v>
      </c>
      <c r="G17" s="33" t="s">
        <v>89</v>
      </c>
      <c r="H17" s="31">
        <v>0</v>
      </c>
      <c r="I17" s="31">
        <v>85795673555</v>
      </c>
      <c r="J17" s="29">
        <v>0</v>
      </c>
      <c r="K17" s="82">
        <v>0</v>
      </c>
      <c r="L17" s="32">
        <v>43111</v>
      </c>
      <c r="M17" s="29" t="s">
        <v>43</v>
      </c>
    </row>
    <row r="18" spans="1:13" ht="28" x14ac:dyDescent="0.2">
      <c r="A18" s="23">
        <f t="shared" si="0"/>
        <v>9</v>
      </c>
      <c r="B18" s="30" t="s">
        <v>18</v>
      </c>
      <c r="C18" s="31">
        <v>81322260653</v>
      </c>
      <c r="D18" s="29" t="s">
        <v>91</v>
      </c>
      <c r="E18" s="29" t="s">
        <v>35</v>
      </c>
      <c r="F18" s="32">
        <v>0</v>
      </c>
      <c r="G18" s="33" t="s">
        <v>90</v>
      </c>
      <c r="H18" s="31">
        <v>0</v>
      </c>
      <c r="I18" s="31">
        <v>81395314545</v>
      </c>
      <c r="J18" s="29">
        <v>0</v>
      </c>
      <c r="K18" s="82">
        <v>0</v>
      </c>
      <c r="L18" s="32">
        <v>42746</v>
      </c>
      <c r="M18" s="29" t="s">
        <v>43</v>
      </c>
    </row>
    <row r="19" spans="1:13" x14ac:dyDescent="0.2">
      <c r="A19" s="23">
        <f t="shared" si="0"/>
        <v>10</v>
      </c>
      <c r="B19" s="30" t="s">
        <v>18</v>
      </c>
      <c r="C19" s="31">
        <v>81322260653</v>
      </c>
      <c r="D19" s="29" t="s">
        <v>92</v>
      </c>
      <c r="E19" s="29" t="s">
        <v>35</v>
      </c>
      <c r="F19" s="32">
        <v>0</v>
      </c>
      <c r="G19" s="33" t="s">
        <v>93</v>
      </c>
      <c r="H19" s="31">
        <v>81221616846</v>
      </c>
      <c r="I19" s="31">
        <v>0</v>
      </c>
      <c r="J19" s="29">
        <v>0</v>
      </c>
      <c r="K19" s="82">
        <v>0</v>
      </c>
      <c r="L19" s="32">
        <v>43132</v>
      </c>
      <c r="M19" s="29" t="s">
        <v>43</v>
      </c>
    </row>
    <row r="20" spans="1:13" ht="28" x14ac:dyDescent="0.2">
      <c r="A20" s="23">
        <f t="shared" si="0"/>
        <v>11</v>
      </c>
      <c r="B20" s="30" t="s">
        <v>18</v>
      </c>
      <c r="C20" s="31">
        <v>81322260653</v>
      </c>
      <c r="D20" s="29" t="s">
        <v>95</v>
      </c>
      <c r="E20" s="29" t="s">
        <v>35</v>
      </c>
      <c r="F20" s="32">
        <v>43304</v>
      </c>
      <c r="G20" s="33" t="s">
        <v>96</v>
      </c>
      <c r="H20" s="31">
        <v>0</v>
      </c>
      <c r="I20" s="31">
        <v>811248495</v>
      </c>
      <c r="J20" s="83" t="s">
        <v>94</v>
      </c>
      <c r="K20" s="82">
        <v>0</v>
      </c>
      <c r="L20" s="32">
        <v>43101</v>
      </c>
      <c r="M20" s="29" t="s">
        <v>43</v>
      </c>
    </row>
    <row r="21" spans="1:13" x14ac:dyDescent="0.2">
      <c r="A21" s="23">
        <f t="shared" si="0"/>
        <v>12</v>
      </c>
      <c r="B21" s="30" t="s">
        <v>18</v>
      </c>
      <c r="C21" s="31">
        <v>81322260653</v>
      </c>
      <c r="D21" s="29" t="s">
        <v>97</v>
      </c>
      <c r="E21" s="29" t="s">
        <v>35</v>
      </c>
      <c r="F21" s="32">
        <v>0</v>
      </c>
      <c r="G21" s="33">
        <v>0</v>
      </c>
      <c r="H21" s="31">
        <v>0</v>
      </c>
      <c r="I21" s="31">
        <v>81320549014</v>
      </c>
      <c r="J21" s="29">
        <v>0</v>
      </c>
      <c r="K21" s="82">
        <v>0</v>
      </c>
      <c r="L21" s="32">
        <v>43104</v>
      </c>
      <c r="M21" s="29" t="s">
        <v>43</v>
      </c>
    </row>
    <row r="22" spans="1:13" x14ac:dyDescent="0.2">
      <c r="A22" s="23">
        <f t="shared" si="0"/>
        <v>13</v>
      </c>
      <c r="B22" s="30" t="s">
        <v>18</v>
      </c>
      <c r="C22" s="31">
        <v>81322260653</v>
      </c>
      <c r="D22" s="29" t="s">
        <v>103</v>
      </c>
      <c r="E22" s="29" t="s">
        <v>45</v>
      </c>
      <c r="F22" s="32">
        <v>0</v>
      </c>
      <c r="G22" s="33" t="s">
        <v>104</v>
      </c>
      <c r="H22" s="31">
        <v>0</v>
      </c>
      <c r="I22" s="31">
        <v>0</v>
      </c>
      <c r="J22" s="98">
        <v>0</v>
      </c>
      <c r="K22" s="99">
        <v>0</v>
      </c>
      <c r="L22" s="32">
        <v>43139</v>
      </c>
      <c r="M22" s="29" t="s">
        <v>43</v>
      </c>
    </row>
    <row r="23" spans="1:13" x14ac:dyDescent="0.2">
      <c r="A23" s="23" t="str">
        <f t="shared" si="0"/>
        <v/>
      </c>
      <c r="B23" s="30"/>
      <c r="C23" s="31"/>
      <c r="D23" s="29"/>
      <c r="E23" s="29"/>
      <c r="F23" s="32"/>
      <c r="G23" s="33"/>
      <c r="H23" s="31"/>
      <c r="I23" s="31"/>
      <c r="J23" s="29"/>
      <c r="K23" s="82"/>
      <c r="L23" s="32"/>
      <c r="M23" s="29"/>
    </row>
    <row r="24" spans="1:13" x14ac:dyDescent="0.2">
      <c r="A24" s="23" t="str">
        <f t="shared" si="0"/>
        <v/>
      </c>
      <c r="B24" s="30"/>
      <c r="C24" s="31"/>
      <c r="D24" s="29"/>
      <c r="E24" s="29"/>
      <c r="F24" s="32"/>
      <c r="G24" s="33"/>
      <c r="H24" s="31"/>
      <c r="I24" s="31"/>
      <c r="J24" s="29"/>
      <c r="K24" s="82"/>
      <c r="L24" s="32"/>
      <c r="M24" s="29"/>
    </row>
    <row r="25" spans="1:13" x14ac:dyDescent="0.2">
      <c r="A25" s="23" t="str">
        <f t="shared" si="0"/>
        <v/>
      </c>
      <c r="B25" s="30"/>
      <c r="C25" s="31"/>
      <c r="D25" s="29"/>
      <c r="E25" s="29"/>
      <c r="F25" s="32"/>
      <c r="G25" s="33"/>
      <c r="H25" s="31"/>
      <c r="I25" s="31"/>
      <c r="J25" s="29"/>
      <c r="K25" s="82"/>
      <c r="L25" s="32"/>
      <c r="M25" s="29"/>
    </row>
    <row r="26" spans="1:13" x14ac:dyDescent="0.2">
      <c r="A26" s="23" t="str">
        <f t="shared" si="0"/>
        <v/>
      </c>
      <c r="B26" s="30"/>
      <c r="C26" s="31"/>
      <c r="D26" s="29"/>
      <c r="E26" s="29"/>
      <c r="F26" s="32"/>
      <c r="G26" s="33"/>
      <c r="H26" s="31"/>
      <c r="I26" s="31"/>
      <c r="J26" s="29"/>
      <c r="K26" s="82"/>
      <c r="L26" s="32"/>
      <c r="M26" s="29"/>
    </row>
    <row r="27" spans="1:13" x14ac:dyDescent="0.2">
      <c r="A27" s="23" t="str">
        <f t="shared" si="0"/>
        <v/>
      </c>
      <c r="B27" s="30"/>
      <c r="C27" s="31"/>
      <c r="D27" s="29"/>
      <c r="E27" s="29"/>
      <c r="F27" s="32"/>
      <c r="G27" s="33"/>
      <c r="H27" s="31"/>
      <c r="I27" s="31"/>
      <c r="J27" s="29"/>
      <c r="K27" s="82"/>
      <c r="L27" s="32"/>
      <c r="M27" s="29"/>
    </row>
    <row r="28" spans="1:13" x14ac:dyDescent="0.2">
      <c r="A28" s="23" t="str">
        <f t="shared" si="0"/>
        <v/>
      </c>
      <c r="B28" s="30"/>
      <c r="C28" s="31"/>
      <c r="D28" s="29"/>
      <c r="E28" s="29"/>
      <c r="F28" s="32"/>
      <c r="G28" s="33"/>
      <c r="H28" s="31"/>
      <c r="I28" s="31"/>
      <c r="J28" s="29"/>
      <c r="K28" s="82"/>
      <c r="L28" s="32"/>
      <c r="M28" s="29"/>
    </row>
    <row r="29" spans="1:13" x14ac:dyDescent="0.2">
      <c r="A29" s="23" t="str">
        <f t="shared" si="0"/>
        <v/>
      </c>
      <c r="B29" s="30"/>
      <c r="C29" s="31"/>
      <c r="D29" s="29"/>
      <c r="E29" s="29"/>
      <c r="F29" s="32"/>
      <c r="G29" s="33"/>
      <c r="H29" s="31"/>
      <c r="I29" s="31"/>
      <c r="J29" s="29"/>
      <c r="K29" s="82"/>
      <c r="L29" s="32"/>
      <c r="M29" s="29"/>
    </row>
    <row r="30" spans="1:13" x14ac:dyDescent="0.2">
      <c r="A30" s="23" t="str">
        <f t="shared" si="0"/>
        <v/>
      </c>
      <c r="B30" s="30"/>
      <c r="C30" s="31"/>
      <c r="D30" s="29"/>
      <c r="E30" s="29"/>
      <c r="F30" s="32"/>
      <c r="G30" s="33"/>
      <c r="H30" s="31"/>
      <c r="I30" s="31"/>
      <c r="J30" s="29"/>
      <c r="K30" s="82"/>
      <c r="L30" s="32"/>
      <c r="M30" s="29"/>
    </row>
    <row r="31" spans="1:13" x14ac:dyDescent="0.2">
      <c r="A31" s="23" t="str">
        <f t="shared" si="0"/>
        <v/>
      </c>
      <c r="B31" s="30"/>
      <c r="C31" s="31"/>
      <c r="D31" s="29"/>
      <c r="E31" s="29"/>
      <c r="F31" s="32"/>
      <c r="G31" s="33"/>
      <c r="H31" s="31"/>
      <c r="I31" s="31"/>
      <c r="J31" s="29"/>
      <c r="K31" s="82"/>
      <c r="L31" s="32"/>
      <c r="M31" s="29"/>
    </row>
    <row r="32" spans="1:13" x14ac:dyDescent="0.2">
      <c r="A32" s="23" t="str">
        <f t="shared" si="0"/>
        <v/>
      </c>
      <c r="B32" s="30"/>
      <c r="C32" s="31"/>
      <c r="D32" s="29"/>
      <c r="E32" s="29"/>
      <c r="F32" s="32"/>
      <c r="G32" s="33"/>
      <c r="H32" s="31"/>
      <c r="I32" s="31"/>
      <c r="J32" s="29"/>
      <c r="K32" s="82"/>
      <c r="L32" s="32"/>
      <c r="M32" s="29"/>
    </row>
    <row r="33" spans="1:13" x14ac:dyDescent="0.2">
      <c r="A33" s="23" t="str">
        <f t="shared" si="0"/>
        <v/>
      </c>
      <c r="B33" s="30"/>
      <c r="C33" s="31"/>
      <c r="D33" s="29"/>
      <c r="E33" s="29"/>
      <c r="F33" s="32"/>
      <c r="G33" s="33"/>
      <c r="H33" s="31"/>
      <c r="I33" s="31"/>
      <c r="J33" s="29"/>
      <c r="K33" s="82"/>
      <c r="L33" s="32"/>
      <c r="M33" s="29"/>
    </row>
    <row r="34" spans="1:13" x14ac:dyDescent="0.2">
      <c r="A34" s="23" t="str">
        <f t="shared" si="0"/>
        <v/>
      </c>
    </row>
    <row r="35" spans="1:13" x14ac:dyDescent="0.2">
      <c r="A35" s="23" t="str">
        <f t="shared" si="0"/>
        <v/>
      </c>
    </row>
    <row r="36" spans="1:13" x14ac:dyDescent="0.2">
      <c r="A36" s="23" t="str">
        <f t="shared" si="0"/>
        <v/>
      </c>
    </row>
    <row r="37" spans="1:13" x14ac:dyDescent="0.2">
      <c r="A37" s="23" t="str">
        <f t="shared" si="0"/>
        <v/>
      </c>
    </row>
    <row r="38" spans="1:13" x14ac:dyDescent="0.2">
      <c r="A38" s="23" t="str">
        <f t="shared" si="0"/>
        <v/>
      </c>
    </row>
    <row r="39" spans="1:13" x14ac:dyDescent="0.2">
      <c r="A39" s="23" t="str">
        <f t="shared" si="0"/>
        <v/>
      </c>
    </row>
    <row r="40" spans="1:13" x14ac:dyDescent="0.2">
      <c r="A40" s="23" t="str">
        <f t="shared" si="0"/>
        <v/>
      </c>
    </row>
    <row r="41" spans="1:13" x14ac:dyDescent="0.2">
      <c r="A41" s="23" t="str">
        <f t="shared" si="0"/>
        <v/>
      </c>
    </row>
    <row r="42" spans="1:13" x14ac:dyDescent="0.2">
      <c r="A42" s="23" t="str">
        <f t="shared" si="0"/>
        <v/>
      </c>
    </row>
    <row r="43" spans="1:13" x14ac:dyDescent="0.2">
      <c r="A43" s="23" t="str">
        <f t="shared" si="0"/>
        <v/>
      </c>
    </row>
    <row r="44" spans="1:13" x14ac:dyDescent="0.2">
      <c r="A44" s="23" t="str">
        <f t="shared" si="0"/>
        <v/>
      </c>
    </row>
    <row r="45" spans="1:13" x14ac:dyDescent="0.2">
      <c r="A45" s="23" t="str">
        <f t="shared" si="0"/>
        <v/>
      </c>
    </row>
    <row r="46" spans="1:13" x14ac:dyDescent="0.2">
      <c r="A46" s="23" t="str">
        <f t="shared" si="0"/>
        <v/>
      </c>
    </row>
    <row r="47" spans="1:13" x14ac:dyDescent="0.2">
      <c r="A47" s="23" t="str">
        <f t="shared" si="0"/>
        <v/>
      </c>
    </row>
    <row r="48" spans="1:13" x14ac:dyDescent="0.2">
      <c r="A48" s="23" t="str">
        <f t="shared" si="0"/>
        <v/>
      </c>
    </row>
    <row r="49" spans="1:1" x14ac:dyDescent="0.2">
      <c r="A49" s="23" t="str">
        <f t="shared" si="0"/>
        <v/>
      </c>
    </row>
    <row r="50" spans="1:1" x14ac:dyDescent="0.2">
      <c r="A50" s="23" t="str">
        <f t="shared" si="0"/>
        <v/>
      </c>
    </row>
    <row r="51" spans="1:1" x14ac:dyDescent="0.2">
      <c r="A51" s="23" t="str">
        <f t="shared" si="0"/>
        <v/>
      </c>
    </row>
    <row r="52" spans="1:1" x14ac:dyDescent="0.2">
      <c r="A52" s="23" t="str">
        <f t="shared" si="0"/>
        <v/>
      </c>
    </row>
    <row r="53" spans="1:1" x14ac:dyDescent="0.2">
      <c r="A53" s="23" t="str">
        <f t="shared" si="0"/>
        <v/>
      </c>
    </row>
    <row r="54" spans="1:1" x14ac:dyDescent="0.2">
      <c r="A54" s="23" t="str">
        <f t="shared" si="0"/>
        <v/>
      </c>
    </row>
    <row r="55" spans="1:1" x14ac:dyDescent="0.2">
      <c r="A55" s="23" t="str">
        <f t="shared" si="0"/>
        <v/>
      </c>
    </row>
    <row r="56" spans="1:1" x14ac:dyDescent="0.2">
      <c r="A56" s="23" t="str">
        <f t="shared" si="0"/>
        <v/>
      </c>
    </row>
    <row r="57" spans="1:1" x14ac:dyDescent="0.2">
      <c r="A57" s="23" t="str">
        <f t="shared" si="0"/>
        <v/>
      </c>
    </row>
    <row r="58" spans="1:1" x14ac:dyDescent="0.2">
      <c r="A58" s="23" t="str">
        <f t="shared" si="0"/>
        <v/>
      </c>
    </row>
    <row r="59" spans="1:1" x14ac:dyDescent="0.2">
      <c r="A59" s="23" t="str">
        <f t="shared" si="0"/>
        <v/>
      </c>
    </row>
    <row r="60" spans="1:1" x14ac:dyDescent="0.2">
      <c r="A60" s="23" t="str">
        <f t="shared" si="0"/>
        <v/>
      </c>
    </row>
    <row r="61" spans="1:1" x14ac:dyDescent="0.2">
      <c r="A61" s="23" t="str">
        <f t="shared" si="0"/>
        <v/>
      </c>
    </row>
    <row r="62" spans="1:1" x14ac:dyDescent="0.2">
      <c r="A62" s="23" t="str">
        <f t="shared" si="0"/>
        <v/>
      </c>
    </row>
    <row r="63" spans="1:1" x14ac:dyDescent="0.2">
      <c r="A63" s="23" t="str">
        <f t="shared" si="0"/>
        <v/>
      </c>
    </row>
    <row r="64" spans="1:1" x14ac:dyDescent="0.2">
      <c r="A64" s="23" t="str">
        <f t="shared" si="0"/>
        <v/>
      </c>
    </row>
    <row r="65" spans="1:1" x14ac:dyDescent="0.2">
      <c r="A65" s="23" t="str">
        <f t="shared" si="0"/>
        <v/>
      </c>
    </row>
    <row r="66" spans="1:1" x14ac:dyDescent="0.2">
      <c r="A66" s="23" t="str">
        <f t="shared" si="0"/>
        <v/>
      </c>
    </row>
    <row r="67" spans="1:1" x14ac:dyDescent="0.2">
      <c r="A67" s="23" t="str">
        <f t="shared" si="0"/>
        <v/>
      </c>
    </row>
    <row r="68" spans="1:1" x14ac:dyDescent="0.2">
      <c r="A68" s="23" t="str">
        <f t="shared" si="0"/>
        <v/>
      </c>
    </row>
    <row r="69" spans="1:1" x14ac:dyDescent="0.2">
      <c r="A69" s="23" t="str">
        <f t="shared" si="0"/>
        <v/>
      </c>
    </row>
    <row r="70" spans="1:1" x14ac:dyDescent="0.2">
      <c r="A70" s="23" t="str">
        <f t="shared" si="0"/>
        <v/>
      </c>
    </row>
    <row r="71" spans="1:1" x14ac:dyDescent="0.2">
      <c r="A71" s="23" t="str">
        <f t="shared" si="0"/>
        <v/>
      </c>
    </row>
    <row r="72" spans="1:1" x14ac:dyDescent="0.2">
      <c r="A72" s="23" t="str">
        <f t="shared" si="0"/>
        <v/>
      </c>
    </row>
    <row r="73" spans="1:1" x14ac:dyDescent="0.2">
      <c r="A73" s="23" t="str">
        <f t="shared" si="0"/>
        <v/>
      </c>
    </row>
    <row r="74" spans="1:1" x14ac:dyDescent="0.2">
      <c r="A74" s="23" t="str">
        <f t="shared" ref="A74:A137" si="1">IF(LEN(B74)&lt;&gt;0,ROW()-9,"")</f>
        <v/>
      </c>
    </row>
    <row r="75" spans="1:1" x14ac:dyDescent="0.2">
      <c r="A75" s="23" t="str">
        <f t="shared" si="1"/>
        <v/>
      </c>
    </row>
    <row r="76" spans="1:1" x14ac:dyDescent="0.2">
      <c r="A76" s="23" t="str">
        <f t="shared" si="1"/>
        <v/>
      </c>
    </row>
    <row r="77" spans="1:1" x14ac:dyDescent="0.2">
      <c r="A77" s="23" t="str">
        <f t="shared" si="1"/>
        <v/>
      </c>
    </row>
    <row r="78" spans="1:1" x14ac:dyDescent="0.2">
      <c r="A78" s="23" t="str">
        <f t="shared" si="1"/>
        <v/>
      </c>
    </row>
    <row r="79" spans="1:1" x14ac:dyDescent="0.2">
      <c r="A79" s="23" t="str">
        <f t="shared" si="1"/>
        <v/>
      </c>
    </row>
    <row r="80" spans="1:1" x14ac:dyDescent="0.2">
      <c r="A80" s="23" t="str">
        <f t="shared" si="1"/>
        <v/>
      </c>
    </row>
    <row r="81" spans="1:1" x14ac:dyDescent="0.2">
      <c r="A81" s="23" t="str">
        <f t="shared" si="1"/>
        <v/>
      </c>
    </row>
    <row r="82" spans="1:1" x14ac:dyDescent="0.2">
      <c r="A82" s="23" t="str">
        <f t="shared" si="1"/>
        <v/>
      </c>
    </row>
    <row r="83" spans="1:1" x14ac:dyDescent="0.2">
      <c r="A83" s="23" t="str">
        <f t="shared" si="1"/>
        <v/>
      </c>
    </row>
    <row r="84" spans="1:1" x14ac:dyDescent="0.2">
      <c r="A84" s="23" t="str">
        <f t="shared" si="1"/>
        <v/>
      </c>
    </row>
    <row r="85" spans="1:1" x14ac:dyDescent="0.2">
      <c r="A85" s="23" t="str">
        <f t="shared" si="1"/>
        <v/>
      </c>
    </row>
    <row r="86" spans="1:1" x14ac:dyDescent="0.2">
      <c r="A86" s="23" t="str">
        <f t="shared" si="1"/>
        <v/>
      </c>
    </row>
    <row r="87" spans="1:1" x14ac:dyDescent="0.2">
      <c r="A87" s="23" t="str">
        <f t="shared" si="1"/>
        <v/>
      </c>
    </row>
    <row r="88" spans="1:1" x14ac:dyDescent="0.2">
      <c r="A88" s="23" t="str">
        <f t="shared" si="1"/>
        <v/>
      </c>
    </row>
    <row r="89" spans="1:1" x14ac:dyDescent="0.2">
      <c r="A89" s="23" t="str">
        <f t="shared" si="1"/>
        <v/>
      </c>
    </row>
    <row r="90" spans="1:1" x14ac:dyDescent="0.2">
      <c r="A90" s="23" t="str">
        <f t="shared" si="1"/>
        <v/>
      </c>
    </row>
    <row r="91" spans="1:1" x14ac:dyDescent="0.2">
      <c r="A91" s="23" t="str">
        <f t="shared" si="1"/>
        <v/>
      </c>
    </row>
    <row r="92" spans="1:1" x14ac:dyDescent="0.2">
      <c r="A92" s="23" t="str">
        <f t="shared" si="1"/>
        <v/>
      </c>
    </row>
    <row r="93" spans="1:1" x14ac:dyDescent="0.2">
      <c r="A93" s="23" t="str">
        <f t="shared" si="1"/>
        <v/>
      </c>
    </row>
    <row r="94" spans="1:1" x14ac:dyDescent="0.2">
      <c r="A94" s="23" t="str">
        <f t="shared" si="1"/>
        <v/>
      </c>
    </row>
    <row r="95" spans="1:1" x14ac:dyDescent="0.2">
      <c r="A95" s="23" t="str">
        <f t="shared" si="1"/>
        <v/>
      </c>
    </row>
    <row r="96" spans="1:1" x14ac:dyDescent="0.2">
      <c r="A96" s="23" t="str">
        <f t="shared" si="1"/>
        <v/>
      </c>
    </row>
    <row r="97" spans="1:1" x14ac:dyDescent="0.2">
      <c r="A97" s="23" t="str">
        <f t="shared" si="1"/>
        <v/>
      </c>
    </row>
    <row r="98" spans="1:1" x14ac:dyDescent="0.2">
      <c r="A98" s="23" t="str">
        <f t="shared" si="1"/>
        <v/>
      </c>
    </row>
    <row r="99" spans="1:1" x14ac:dyDescent="0.2">
      <c r="A99" s="23" t="str">
        <f t="shared" si="1"/>
        <v/>
      </c>
    </row>
    <row r="100" spans="1:1" x14ac:dyDescent="0.2">
      <c r="A100" s="23" t="str">
        <f t="shared" si="1"/>
        <v/>
      </c>
    </row>
    <row r="101" spans="1:1" x14ac:dyDescent="0.2">
      <c r="A101" s="23" t="str">
        <f t="shared" si="1"/>
        <v/>
      </c>
    </row>
    <row r="102" spans="1:1" x14ac:dyDescent="0.2">
      <c r="A102" s="23" t="str">
        <f t="shared" si="1"/>
        <v/>
      </c>
    </row>
    <row r="103" spans="1:1" x14ac:dyDescent="0.2">
      <c r="A103" s="23" t="str">
        <f t="shared" si="1"/>
        <v/>
      </c>
    </row>
    <row r="104" spans="1:1" x14ac:dyDescent="0.2">
      <c r="A104" s="23" t="str">
        <f t="shared" si="1"/>
        <v/>
      </c>
    </row>
    <row r="105" spans="1:1" x14ac:dyDescent="0.2">
      <c r="A105" s="23" t="str">
        <f t="shared" si="1"/>
        <v/>
      </c>
    </row>
    <row r="106" spans="1:1" x14ac:dyDescent="0.2">
      <c r="A106" s="23" t="str">
        <f t="shared" si="1"/>
        <v/>
      </c>
    </row>
    <row r="107" spans="1:1" x14ac:dyDescent="0.2">
      <c r="A107" s="23" t="str">
        <f t="shared" si="1"/>
        <v/>
      </c>
    </row>
    <row r="108" spans="1:1" x14ac:dyDescent="0.2">
      <c r="A108" s="23" t="str">
        <f t="shared" si="1"/>
        <v/>
      </c>
    </row>
    <row r="109" spans="1:1" x14ac:dyDescent="0.2">
      <c r="A109" s="23" t="str">
        <f t="shared" si="1"/>
        <v/>
      </c>
    </row>
    <row r="110" spans="1:1" x14ac:dyDescent="0.2">
      <c r="A110" s="23" t="str">
        <f t="shared" si="1"/>
        <v/>
      </c>
    </row>
    <row r="111" spans="1:1" x14ac:dyDescent="0.2">
      <c r="A111" s="23" t="str">
        <f t="shared" si="1"/>
        <v/>
      </c>
    </row>
    <row r="112" spans="1:1" x14ac:dyDescent="0.2">
      <c r="A112" s="23" t="str">
        <f t="shared" si="1"/>
        <v/>
      </c>
    </row>
    <row r="113" spans="1:1" x14ac:dyDescent="0.2">
      <c r="A113" s="23" t="str">
        <f t="shared" si="1"/>
        <v/>
      </c>
    </row>
    <row r="114" spans="1:1" x14ac:dyDescent="0.2">
      <c r="A114" s="23" t="str">
        <f t="shared" si="1"/>
        <v/>
      </c>
    </row>
    <row r="115" spans="1:1" x14ac:dyDescent="0.2">
      <c r="A115" s="23" t="str">
        <f t="shared" si="1"/>
        <v/>
      </c>
    </row>
    <row r="116" spans="1:1" x14ac:dyDescent="0.2">
      <c r="A116" s="23" t="str">
        <f t="shared" si="1"/>
        <v/>
      </c>
    </row>
    <row r="117" spans="1:1" x14ac:dyDescent="0.2">
      <c r="A117" s="23" t="str">
        <f t="shared" si="1"/>
        <v/>
      </c>
    </row>
    <row r="118" spans="1:1" x14ac:dyDescent="0.2">
      <c r="A118" s="23" t="str">
        <f t="shared" si="1"/>
        <v/>
      </c>
    </row>
    <row r="119" spans="1:1" x14ac:dyDescent="0.2">
      <c r="A119" s="23" t="str">
        <f t="shared" si="1"/>
        <v/>
      </c>
    </row>
    <row r="120" spans="1:1" x14ac:dyDescent="0.2">
      <c r="A120" s="23" t="str">
        <f t="shared" si="1"/>
        <v/>
      </c>
    </row>
    <row r="121" spans="1:1" x14ac:dyDescent="0.2">
      <c r="A121" s="23" t="str">
        <f t="shared" si="1"/>
        <v/>
      </c>
    </row>
    <row r="122" spans="1:1" x14ac:dyDescent="0.2">
      <c r="A122" s="23" t="str">
        <f t="shared" si="1"/>
        <v/>
      </c>
    </row>
    <row r="123" spans="1:1" x14ac:dyDescent="0.2">
      <c r="A123" s="23" t="str">
        <f t="shared" si="1"/>
        <v/>
      </c>
    </row>
    <row r="124" spans="1:1" x14ac:dyDescent="0.2">
      <c r="A124" s="23" t="str">
        <f t="shared" si="1"/>
        <v/>
      </c>
    </row>
    <row r="125" spans="1:1" x14ac:dyDescent="0.2">
      <c r="A125" s="23" t="str">
        <f t="shared" si="1"/>
        <v/>
      </c>
    </row>
    <row r="126" spans="1:1" x14ac:dyDescent="0.2">
      <c r="A126" s="23" t="str">
        <f t="shared" si="1"/>
        <v/>
      </c>
    </row>
    <row r="127" spans="1:1" x14ac:dyDescent="0.2">
      <c r="A127" s="23" t="str">
        <f t="shared" si="1"/>
        <v/>
      </c>
    </row>
    <row r="128" spans="1:1" x14ac:dyDescent="0.2">
      <c r="A128" s="23" t="str">
        <f t="shared" si="1"/>
        <v/>
      </c>
    </row>
    <row r="129" spans="1:1" x14ac:dyDescent="0.2">
      <c r="A129" s="23" t="str">
        <f t="shared" si="1"/>
        <v/>
      </c>
    </row>
    <row r="130" spans="1:1" x14ac:dyDescent="0.2">
      <c r="A130" s="23" t="str">
        <f t="shared" si="1"/>
        <v/>
      </c>
    </row>
    <row r="131" spans="1:1" x14ac:dyDescent="0.2">
      <c r="A131" s="23" t="str">
        <f t="shared" si="1"/>
        <v/>
      </c>
    </row>
    <row r="132" spans="1:1" x14ac:dyDescent="0.2">
      <c r="A132" s="23" t="str">
        <f t="shared" si="1"/>
        <v/>
      </c>
    </row>
    <row r="133" spans="1:1" x14ac:dyDescent="0.2">
      <c r="A133" s="23" t="str">
        <f t="shared" si="1"/>
        <v/>
      </c>
    </row>
    <row r="134" spans="1:1" x14ac:dyDescent="0.2">
      <c r="A134" s="23" t="str">
        <f t="shared" si="1"/>
        <v/>
      </c>
    </row>
    <row r="135" spans="1:1" x14ac:dyDescent="0.2">
      <c r="A135" s="23" t="str">
        <f t="shared" si="1"/>
        <v/>
      </c>
    </row>
    <row r="136" spans="1:1" x14ac:dyDescent="0.2">
      <c r="A136" s="23" t="str">
        <f t="shared" si="1"/>
        <v/>
      </c>
    </row>
    <row r="137" spans="1:1" x14ac:dyDescent="0.2">
      <c r="A137" s="23" t="str">
        <f t="shared" si="1"/>
        <v/>
      </c>
    </row>
    <row r="138" spans="1:1" x14ac:dyDescent="0.2">
      <c r="A138" s="23" t="str">
        <f t="shared" ref="A138:A201" si="2">IF(LEN(B138)&lt;&gt;0,ROW()-9,"")</f>
        <v/>
      </c>
    </row>
    <row r="139" spans="1:1" x14ac:dyDescent="0.2">
      <c r="A139" s="23" t="str">
        <f t="shared" si="2"/>
        <v/>
      </c>
    </row>
    <row r="140" spans="1:1" x14ac:dyDescent="0.2">
      <c r="A140" s="23" t="str">
        <f t="shared" si="2"/>
        <v/>
      </c>
    </row>
    <row r="141" spans="1:1" x14ac:dyDescent="0.2">
      <c r="A141" s="23" t="str">
        <f t="shared" si="2"/>
        <v/>
      </c>
    </row>
    <row r="142" spans="1:1" x14ac:dyDescent="0.2">
      <c r="A142" s="23" t="str">
        <f t="shared" si="2"/>
        <v/>
      </c>
    </row>
    <row r="143" spans="1:1" x14ac:dyDescent="0.2">
      <c r="A143" s="23" t="str">
        <f t="shared" si="2"/>
        <v/>
      </c>
    </row>
    <row r="144" spans="1:1" x14ac:dyDescent="0.2">
      <c r="A144" s="23" t="str">
        <f t="shared" si="2"/>
        <v/>
      </c>
    </row>
    <row r="145" spans="1:1" x14ac:dyDescent="0.2">
      <c r="A145" s="23" t="str">
        <f t="shared" si="2"/>
        <v/>
      </c>
    </row>
    <row r="146" spans="1:1" x14ac:dyDescent="0.2">
      <c r="A146" s="23" t="str">
        <f t="shared" si="2"/>
        <v/>
      </c>
    </row>
    <row r="147" spans="1:1" x14ac:dyDescent="0.2">
      <c r="A147" s="23" t="str">
        <f t="shared" si="2"/>
        <v/>
      </c>
    </row>
    <row r="148" spans="1:1" x14ac:dyDescent="0.2">
      <c r="A148" s="23" t="str">
        <f t="shared" si="2"/>
        <v/>
      </c>
    </row>
    <row r="149" spans="1:1" x14ac:dyDescent="0.2">
      <c r="A149" s="23" t="str">
        <f t="shared" si="2"/>
        <v/>
      </c>
    </row>
    <row r="150" spans="1:1" x14ac:dyDescent="0.2">
      <c r="A150" s="23" t="str">
        <f t="shared" si="2"/>
        <v/>
      </c>
    </row>
    <row r="151" spans="1:1" x14ac:dyDescent="0.2">
      <c r="A151" s="23" t="str">
        <f t="shared" si="2"/>
        <v/>
      </c>
    </row>
    <row r="152" spans="1:1" x14ac:dyDescent="0.2">
      <c r="A152" s="23" t="str">
        <f t="shared" si="2"/>
        <v/>
      </c>
    </row>
    <row r="153" spans="1:1" x14ac:dyDescent="0.2">
      <c r="A153" s="23" t="str">
        <f t="shared" si="2"/>
        <v/>
      </c>
    </row>
    <row r="154" spans="1:1" x14ac:dyDescent="0.2">
      <c r="A154" s="23" t="str">
        <f t="shared" si="2"/>
        <v/>
      </c>
    </row>
    <row r="155" spans="1:1" x14ac:dyDescent="0.2">
      <c r="A155" s="23" t="str">
        <f t="shared" si="2"/>
        <v/>
      </c>
    </row>
    <row r="156" spans="1:1" x14ac:dyDescent="0.2">
      <c r="A156" s="23" t="str">
        <f t="shared" si="2"/>
        <v/>
      </c>
    </row>
    <row r="157" spans="1:1" x14ac:dyDescent="0.2">
      <c r="A157" s="23" t="str">
        <f t="shared" si="2"/>
        <v/>
      </c>
    </row>
    <row r="158" spans="1:1" x14ac:dyDescent="0.2">
      <c r="A158" s="23" t="str">
        <f t="shared" si="2"/>
        <v/>
      </c>
    </row>
    <row r="159" spans="1:1" x14ac:dyDescent="0.2">
      <c r="A159" s="23" t="str">
        <f t="shared" si="2"/>
        <v/>
      </c>
    </row>
    <row r="160" spans="1:1" x14ac:dyDescent="0.2">
      <c r="A160" s="23" t="str">
        <f t="shared" si="2"/>
        <v/>
      </c>
    </row>
    <row r="161" spans="1:1" x14ac:dyDescent="0.2">
      <c r="A161" s="23" t="str">
        <f t="shared" si="2"/>
        <v/>
      </c>
    </row>
    <row r="162" spans="1:1" x14ac:dyDescent="0.2">
      <c r="A162" s="23" t="str">
        <f t="shared" si="2"/>
        <v/>
      </c>
    </row>
    <row r="163" spans="1:1" x14ac:dyDescent="0.2">
      <c r="A163" s="23" t="str">
        <f t="shared" si="2"/>
        <v/>
      </c>
    </row>
    <row r="164" spans="1:1" x14ac:dyDescent="0.2">
      <c r="A164" s="23" t="str">
        <f t="shared" si="2"/>
        <v/>
      </c>
    </row>
    <row r="165" spans="1:1" x14ac:dyDescent="0.2">
      <c r="A165" s="23" t="str">
        <f t="shared" si="2"/>
        <v/>
      </c>
    </row>
    <row r="166" spans="1:1" x14ac:dyDescent="0.2">
      <c r="A166" s="23" t="str">
        <f t="shared" si="2"/>
        <v/>
      </c>
    </row>
    <row r="167" spans="1:1" x14ac:dyDescent="0.2">
      <c r="A167" s="23" t="str">
        <f t="shared" si="2"/>
        <v/>
      </c>
    </row>
    <row r="168" spans="1:1" x14ac:dyDescent="0.2">
      <c r="A168" s="23" t="str">
        <f t="shared" si="2"/>
        <v/>
      </c>
    </row>
    <row r="169" spans="1:1" x14ac:dyDescent="0.2">
      <c r="A169" s="23" t="str">
        <f t="shared" si="2"/>
        <v/>
      </c>
    </row>
    <row r="170" spans="1:1" x14ac:dyDescent="0.2">
      <c r="A170" s="23" t="str">
        <f t="shared" si="2"/>
        <v/>
      </c>
    </row>
    <row r="171" spans="1:1" x14ac:dyDescent="0.2">
      <c r="A171" s="23" t="str">
        <f t="shared" si="2"/>
        <v/>
      </c>
    </row>
    <row r="172" spans="1:1" x14ac:dyDescent="0.2">
      <c r="A172" s="23" t="str">
        <f t="shared" si="2"/>
        <v/>
      </c>
    </row>
    <row r="173" spans="1:1" x14ac:dyDescent="0.2">
      <c r="A173" s="23" t="str">
        <f t="shared" si="2"/>
        <v/>
      </c>
    </row>
    <row r="174" spans="1:1" x14ac:dyDescent="0.2">
      <c r="A174" s="23" t="str">
        <f t="shared" si="2"/>
        <v/>
      </c>
    </row>
    <row r="175" spans="1:1" x14ac:dyDescent="0.2">
      <c r="A175" s="23" t="str">
        <f t="shared" si="2"/>
        <v/>
      </c>
    </row>
    <row r="176" spans="1:1" x14ac:dyDescent="0.2">
      <c r="A176" s="23" t="str">
        <f t="shared" si="2"/>
        <v/>
      </c>
    </row>
    <row r="177" spans="1:1" x14ac:dyDescent="0.2">
      <c r="A177" s="23" t="str">
        <f t="shared" si="2"/>
        <v/>
      </c>
    </row>
    <row r="178" spans="1:1" x14ac:dyDescent="0.2">
      <c r="A178" s="23" t="str">
        <f t="shared" si="2"/>
        <v/>
      </c>
    </row>
    <row r="179" spans="1:1" x14ac:dyDescent="0.2">
      <c r="A179" s="23" t="str">
        <f t="shared" si="2"/>
        <v/>
      </c>
    </row>
    <row r="180" spans="1:1" x14ac:dyDescent="0.2">
      <c r="A180" s="23" t="str">
        <f t="shared" si="2"/>
        <v/>
      </c>
    </row>
    <row r="181" spans="1:1" x14ac:dyDescent="0.2">
      <c r="A181" s="23" t="str">
        <f t="shared" si="2"/>
        <v/>
      </c>
    </row>
    <row r="182" spans="1:1" x14ac:dyDescent="0.2">
      <c r="A182" s="23" t="str">
        <f t="shared" si="2"/>
        <v/>
      </c>
    </row>
    <row r="183" spans="1:1" x14ac:dyDescent="0.2">
      <c r="A183" s="23" t="str">
        <f t="shared" si="2"/>
        <v/>
      </c>
    </row>
    <row r="184" spans="1:1" x14ac:dyDescent="0.2">
      <c r="A184" s="23" t="str">
        <f t="shared" si="2"/>
        <v/>
      </c>
    </row>
    <row r="185" spans="1:1" x14ac:dyDescent="0.2">
      <c r="A185" s="23" t="str">
        <f t="shared" si="2"/>
        <v/>
      </c>
    </row>
    <row r="186" spans="1:1" x14ac:dyDescent="0.2">
      <c r="A186" s="23" t="str">
        <f t="shared" si="2"/>
        <v/>
      </c>
    </row>
    <row r="187" spans="1:1" x14ac:dyDescent="0.2">
      <c r="A187" s="23" t="str">
        <f t="shared" si="2"/>
        <v/>
      </c>
    </row>
    <row r="188" spans="1:1" x14ac:dyDescent="0.2">
      <c r="A188" s="23" t="str">
        <f t="shared" si="2"/>
        <v/>
      </c>
    </row>
    <row r="189" spans="1:1" x14ac:dyDescent="0.2">
      <c r="A189" s="23" t="str">
        <f t="shared" si="2"/>
        <v/>
      </c>
    </row>
    <row r="190" spans="1:1" x14ac:dyDescent="0.2">
      <c r="A190" s="23" t="str">
        <f t="shared" si="2"/>
        <v/>
      </c>
    </row>
    <row r="191" spans="1:1" x14ac:dyDescent="0.2">
      <c r="A191" s="23" t="str">
        <f t="shared" si="2"/>
        <v/>
      </c>
    </row>
    <row r="192" spans="1:1" x14ac:dyDescent="0.2">
      <c r="A192" s="23" t="str">
        <f t="shared" si="2"/>
        <v/>
      </c>
    </row>
    <row r="193" spans="1:1" x14ac:dyDescent="0.2">
      <c r="A193" s="23" t="str">
        <f t="shared" si="2"/>
        <v/>
      </c>
    </row>
    <row r="194" spans="1:1" x14ac:dyDescent="0.2">
      <c r="A194" s="23" t="str">
        <f t="shared" si="2"/>
        <v/>
      </c>
    </row>
    <row r="195" spans="1:1" x14ac:dyDescent="0.2">
      <c r="A195" s="23" t="str">
        <f t="shared" si="2"/>
        <v/>
      </c>
    </row>
    <row r="196" spans="1:1" x14ac:dyDescent="0.2">
      <c r="A196" s="23" t="str">
        <f t="shared" si="2"/>
        <v/>
      </c>
    </row>
    <row r="197" spans="1:1" x14ac:dyDescent="0.2">
      <c r="A197" s="23" t="str">
        <f t="shared" si="2"/>
        <v/>
      </c>
    </row>
    <row r="198" spans="1:1" x14ac:dyDescent="0.2">
      <c r="A198" s="23" t="str">
        <f t="shared" si="2"/>
        <v/>
      </c>
    </row>
    <row r="199" spans="1:1" x14ac:dyDescent="0.2">
      <c r="A199" s="23" t="str">
        <f t="shared" si="2"/>
        <v/>
      </c>
    </row>
    <row r="200" spans="1:1" x14ac:dyDescent="0.2">
      <c r="A200" s="23" t="str">
        <f t="shared" si="2"/>
        <v/>
      </c>
    </row>
    <row r="201" spans="1:1" x14ac:dyDescent="0.2">
      <c r="A201" s="23" t="str">
        <f t="shared" si="2"/>
        <v/>
      </c>
    </row>
    <row r="202" spans="1:1" x14ac:dyDescent="0.2">
      <c r="A202" s="23" t="str">
        <f t="shared" ref="A202:A265" si="3">IF(LEN(B202)&lt;&gt;0,ROW()-9,"")</f>
        <v/>
      </c>
    </row>
    <row r="203" spans="1:1" x14ac:dyDescent="0.2">
      <c r="A203" s="23" t="str">
        <f t="shared" si="3"/>
        <v/>
      </c>
    </row>
    <row r="204" spans="1:1" x14ac:dyDescent="0.2">
      <c r="A204" s="23" t="str">
        <f t="shared" si="3"/>
        <v/>
      </c>
    </row>
    <row r="205" spans="1:1" x14ac:dyDescent="0.2">
      <c r="A205" s="23" t="str">
        <f t="shared" si="3"/>
        <v/>
      </c>
    </row>
    <row r="206" spans="1:1" x14ac:dyDescent="0.2">
      <c r="A206" s="23" t="str">
        <f t="shared" si="3"/>
        <v/>
      </c>
    </row>
    <row r="207" spans="1:1" x14ac:dyDescent="0.2">
      <c r="A207" s="23" t="str">
        <f t="shared" si="3"/>
        <v/>
      </c>
    </row>
    <row r="208" spans="1:1" x14ac:dyDescent="0.2">
      <c r="A208" s="23" t="str">
        <f t="shared" si="3"/>
        <v/>
      </c>
    </row>
    <row r="209" spans="1:1" x14ac:dyDescent="0.2">
      <c r="A209" s="23" t="str">
        <f t="shared" si="3"/>
        <v/>
      </c>
    </row>
    <row r="210" spans="1:1" x14ac:dyDescent="0.2">
      <c r="A210" s="23" t="str">
        <f t="shared" si="3"/>
        <v/>
      </c>
    </row>
    <row r="211" spans="1:1" x14ac:dyDescent="0.2">
      <c r="A211" s="23" t="str">
        <f t="shared" si="3"/>
        <v/>
      </c>
    </row>
    <row r="212" spans="1:1" x14ac:dyDescent="0.2">
      <c r="A212" s="23" t="str">
        <f t="shared" si="3"/>
        <v/>
      </c>
    </row>
    <row r="213" spans="1:1" x14ac:dyDescent="0.2">
      <c r="A213" s="23" t="str">
        <f t="shared" si="3"/>
        <v/>
      </c>
    </row>
    <row r="214" spans="1:1" x14ac:dyDescent="0.2">
      <c r="A214" s="23" t="str">
        <f t="shared" si="3"/>
        <v/>
      </c>
    </row>
    <row r="215" spans="1:1" x14ac:dyDescent="0.2">
      <c r="A215" s="23" t="str">
        <f t="shared" si="3"/>
        <v/>
      </c>
    </row>
    <row r="216" spans="1:1" x14ac:dyDescent="0.2">
      <c r="A216" s="23" t="str">
        <f t="shared" si="3"/>
        <v/>
      </c>
    </row>
    <row r="217" spans="1:1" x14ac:dyDescent="0.2">
      <c r="A217" s="23" t="str">
        <f t="shared" si="3"/>
        <v/>
      </c>
    </row>
    <row r="218" spans="1:1" x14ac:dyDescent="0.2">
      <c r="A218" s="23" t="str">
        <f t="shared" si="3"/>
        <v/>
      </c>
    </row>
    <row r="219" spans="1:1" x14ac:dyDescent="0.2">
      <c r="A219" s="23" t="str">
        <f t="shared" si="3"/>
        <v/>
      </c>
    </row>
    <row r="220" spans="1:1" x14ac:dyDescent="0.2">
      <c r="A220" s="23" t="str">
        <f t="shared" si="3"/>
        <v/>
      </c>
    </row>
    <row r="221" spans="1:1" x14ac:dyDescent="0.2">
      <c r="A221" s="23" t="str">
        <f t="shared" si="3"/>
        <v/>
      </c>
    </row>
    <row r="222" spans="1:1" x14ac:dyDescent="0.2">
      <c r="A222" s="23" t="str">
        <f t="shared" si="3"/>
        <v/>
      </c>
    </row>
    <row r="223" spans="1:1" x14ac:dyDescent="0.2">
      <c r="A223" s="23" t="str">
        <f t="shared" si="3"/>
        <v/>
      </c>
    </row>
    <row r="224" spans="1:1" x14ac:dyDescent="0.2">
      <c r="A224" s="23" t="str">
        <f t="shared" si="3"/>
        <v/>
      </c>
    </row>
    <row r="225" spans="1:1" x14ac:dyDescent="0.2">
      <c r="A225" s="23" t="str">
        <f t="shared" si="3"/>
        <v/>
      </c>
    </row>
    <row r="226" spans="1:1" x14ac:dyDescent="0.2">
      <c r="A226" s="23" t="str">
        <f t="shared" si="3"/>
        <v/>
      </c>
    </row>
    <row r="227" spans="1:1" x14ac:dyDescent="0.2">
      <c r="A227" s="23" t="str">
        <f t="shared" si="3"/>
        <v/>
      </c>
    </row>
    <row r="228" spans="1:1" x14ac:dyDescent="0.2">
      <c r="A228" s="23" t="str">
        <f t="shared" si="3"/>
        <v/>
      </c>
    </row>
    <row r="229" spans="1:1" x14ac:dyDescent="0.2">
      <c r="A229" s="23" t="str">
        <f t="shared" si="3"/>
        <v/>
      </c>
    </row>
    <row r="230" spans="1:1" x14ac:dyDescent="0.2">
      <c r="A230" s="23" t="str">
        <f t="shared" si="3"/>
        <v/>
      </c>
    </row>
    <row r="231" spans="1:1" x14ac:dyDescent="0.2">
      <c r="A231" s="23" t="str">
        <f t="shared" si="3"/>
        <v/>
      </c>
    </row>
    <row r="232" spans="1:1" x14ac:dyDescent="0.2">
      <c r="A232" s="23" t="str">
        <f t="shared" si="3"/>
        <v/>
      </c>
    </row>
    <row r="233" spans="1:1" x14ac:dyDescent="0.2">
      <c r="A233" s="23" t="str">
        <f t="shared" si="3"/>
        <v/>
      </c>
    </row>
    <row r="234" spans="1:1" x14ac:dyDescent="0.2">
      <c r="A234" s="23" t="str">
        <f t="shared" si="3"/>
        <v/>
      </c>
    </row>
    <row r="235" spans="1:1" x14ac:dyDescent="0.2">
      <c r="A235" s="23" t="str">
        <f t="shared" si="3"/>
        <v/>
      </c>
    </row>
    <row r="236" spans="1:1" x14ac:dyDescent="0.2">
      <c r="A236" s="23" t="str">
        <f t="shared" si="3"/>
        <v/>
      </c>
    </row>
    <row r="237" spans="1:1" x14ac:dyDescent="0.2">
      <c r="A237" s="23" t="str">
        <f t="shared" si="3"/>
        <v/>
      </c>
    </row>
    <row r="238" spans="1:1" x14ac:dyDescent="0.2">
      <c r="A238" s="23" t="str">
        <f t="shared" si="3"/>
        <v/>
      </c>
    </row>
    <row r="239" spans="1:1" x14ac:dyDescent="0.2">
      <c r="A239" s="23" t="str">
        <f t="shared" si="3"/>
        <v/>
      </c>
    </row>
    <row r="240" spans="1:1" x14ac:dyDescent="0.2">
      <c r="A240" s="23" t="str">
        <f t="shared" si="3"/>
        <v/>
      </c>
    </row>
    <row r="241" spans="1:1" x14ac:dyDescent="0.2">
      <c r="A241" s="23" t="str">
        <f t="shared" si="3"/>
        <v/>
      </c>
    </row>
    <row r="242" spans="1:1" x14ac:dyDescent="0.2">
      <c r="A242" s="23" t="str">
        <f t="shared" si="3"/>
        <v/>
      </c>
    </row>
    <row r="243" spans="1:1" x14ac:dyDescent="0.2">
      <c r="A243" s="23" t="str">
        <f t="shared" si="3"/>
        <v/>
      </c>
    </row>
    <row r="244" spans="1:1" x14ac:dyDescent="0.2">
      <c r="A244" s="23" t="str">
        <f t="shared" si="3"/>
        <v/>
      </c>
    </row>
    <row r="245" spans="1:1" x14ac:dyDescent="0.2">
      <c r="A245" s="23" t="str">
        <f t="shared" si="3"/>
        <v/>
      </c>
    </row>
    <row r="246" spans="1:1" x14ac:dyDescent="0.2">
      <c r="A246" s="23" t="str">
        <f t="shared" si="3"/>
        <v/>
      </c>
    </row>
    <row r="247" spans="1:1" x14ac:dyDescent="0.2">
      <c r="A247" s="23" t="str">
        <f t="shared" si="3"/>
        <v/>
      </c>
    </row>
    <row r="248" spans="1:1" x14ac:dyDescent="0.2">
      <c r="A248" s="23" t="str">
        <f t="shared" si="3"/>
        <v/>
      </c>
    </row>
    <row r="249" spans="1:1" x14ac:dyDescent="0.2">
      <c r="A249" s="23" t="str">
        <f t="shared" si="3"/>
        <v/>
      </c>
    </row>
    <row r="250" spans="1:1" x14ac:dyDescent="0.2">
      <c r="A250" s="23" t="str">
        <f t="shared" si="3"/>
        <v/>
      </c>
    </row>
    <row r="251" spans="1:1" x14ac:dyDescent="0.2">
      <c r="A251" s="23" t="str">
        <f t="shared" si="3"/>
        <v/>
      </c>
    </row>
    <row r="252" spans="1:1" x14ac:dyDescent="0.2">
      <c r="A252" s="23" t="str">
        <f t="shared" si="3"/>
        <v/>
      </c>
    </row>
    <row r="253" spans="1:1" x14ac:dyDescent="0.2">
      <c r="A253" s="23" t="str">
        <f t="shared" si="3"/>
        <v/>
      </c>
    </row>
    <row r="254" spans="1:1" x14ac:dyDescent="0.2">
      <c r="A254" s="23" t="str">
        <f t="shared" si="3"/>
        <v/>
      </c>
    </row>
    <row r="255" spans="1:1" x14ac:dyDescent="0.2">
      <c r="A255" s="23" t="str">
        <f t="shared" si="3"/>
        <v/>
      </c>
    </row>
    <row r="256" spans="1:1" x14ac:dyDescent="0.2">
      <c r="A256" s="23" t="str">
        <f t="shared" si="3"/>
        <v/>
      </c>
    </row>
    <row r="257" spans="1:1" x14ac:dyDescent="0.2">
      <c r="A257" s="23" t="str">
        <f t="shared" si="3"/>
        <v/>
      </c>
    </row>
    <row r="258" spans="1:1" x14ac:dyDescent="0.2">
      <c r="A258" s="23" t="str">
        <f t="shared" si="3"/>
        <v/>
      </c>
    </row>
    <row r="259" spans="1:1" x14ac:dyDescent="0.2">
      <c r="A259" s="23" t="str">
        <f t="shared" si="3"/>
        <v/>
      </c>
    </row>
    <row r="260" spans="1:1" x14ac:dyDescent="0.2">
      <c r="A260" s="23" t="str">
        <f t="shared" si="3"/>
        <v/>
      </c>
    </row>
    <row r="261" spans="1:1" x14ac:dyDescent="0.2">
      <c r="A261" s="23" t="str">
        <f t="shared" si="3"/>
        <v/>
      </c>
    </row>
    <row r="262" spans="1:1" x14ac:dyDescent="0.2">
      <c r="A262" s="23" t="str">
        <f t="shared" si="3"/>
        <v/>
      </c>
    </row>
    <row r="263" spans="1:1" x14ac:dyDescent="0.2">
      <c r="A263" s="23" t="str">
        <f t="shared" si="3"/>
        <v/>
      </c>
    </row>
    <row r="264" spans="1:1" x14ac:dyDescent="0.2">
      <c r="A264" s="23" t="str">
        <f t="shared" si="3"/>
        <v/>
      </c>
    </row>
    <row r="265" spans="1:1" x14ac:dyDescent="0.2">
      <c r="A265" s="23" t="str">
        <f t="shared" si="3"/>
        <v/>
      </c>
    </row>
    <row r="266" spans="1:1" x14ac:dyDescent="0.2">
      <c r="A266" s="23" t="str">
        <f t="shared" ref="A266:A329" si="4">IF(LEN(B266)&lt;&gt;0,ROW()-9,"")</f>
        <v/>
      </c>
    </row>
    <row r="267" spans="1:1" x14ac:dyDescent="0.2">
      <c r="A267" s="23" t="str">
        <f t="shared" si="4"/>
        <v/>
      </c>
    </row>
    <row r="268" spans="1:1" x14ac:dyDescent="0.2">
      <c r="A268" s="23" t="str">
        <f t="shared" si="4"/>
        <v/>
      </c>
    </row>
    <row r="269" spans="1:1" x14ac:dyDescent="0.2">
      <c r="A269" s="23" t="str">
        <f t="shared" si="4"/>
        <v/>
      </c>
    </row>
    <row r="270" spans="1:1" x14ac:dyDescent="0.2">
      <c r="A270" s="23" t="str">
        <f t="shared" si="4"/>
        <v/>
      </c>
    </row>
    <row r="271" spans="1:1" x14ac:dyDescent="0.2">
      <c r="A271" s="23" t="str">
        <f t="shared" si="4"/>
        <v/>
      </c>
    </row>
    <row r="272" spans="1:1" x14ac:dyDescent="0.2">
      <c r="A272" s="23" t="str">
        <f t="shared" si="4"/>
        <v/>
      </c>
    </row>
    <row r="273" spans="1:1" x14ac:dyDescent="0.2">
      <c r="A273" s="23" t="str">
        <f t="shared" si="4"/>
        <v/>
      </c>
    </row>
    <row r="274" spans="1:1" x14ac:dyDescent="0.2">
      <c r="A274" s="23" t="str">
        <f t="shared" si="4"/>
        <v/>
      </c>
    </row>
    <row r="275" spans="1:1" x14ac:dyDescent="0.2">
      <c r="A275" s="23" t="str">
        <f t="shared" si="4"/>
        <v/>
      </c>
    </row>
    <row r="276" spans="1:1" x14ac:dyDescent="0.2">
      <c r="A276" s="23" t="str">
        <f t="shared" si="4"/>
        <v/>
      </c>
    </row>
    <row r="277" spans="1:1" x14ac:dyDescent="0.2">
      <c r="A277" s="23" t="str">
        <f t="shared" si="4"/>
        <v/>
      </c>
    </row>
    <row r="278" spans="1:1" x14ac:dyDescent="0.2">
      <c r="A278" s="23" t="str">
        <f t="shared" si="4"/>
        <v/>
      </c>
    </row>
    <row r="279" spans="1:1" x14ac:dyDescent="0.2">
      <c r="A279" s="23" t="str">
        <f t="shared" si="4"/>
        <v/>
      </c>
    </row>
    <row r="280" spans="1:1" x14ac:dyDescent="0.2">
      <c r="A280" s="23" t="str">
        <f t="shared" si="4"/>
        <v/>
      </c>
    </row>
    <row r="281" spans="1:1" x14ac:dyDescent="0.2">
      <c r="A281" s="23" t="str">
        <f t="shared" si="4"/>
        <v/>
      </c>
    </row>
    <row r="282" spans="1:1" x14ac:dyDescent="0.2">
      <c r="A282" s="23" t="str">
        <f t="shared" si="4"/>
        <v/>
      </c>
    </row>
    <row r="283" spans="1:1" x14ac:dyDescent="0.2">
      <c r="A283" s="23" t="str">
        <f t="shared" si="4"/>
        <v/>
      </c>
    </row>
    <row r="284" spans="1:1" x14ac:dyDescent="0.2">
      <c r="A284" s="23" t="str">
        <f t="shared" si="4"/>
        <v/>
      </c>
    </row>
    <row r="285" spans="1:1" x14ac:dyDescent="0.2">
      <c r="A285" s="23" t="str">
        <f t="shared" si="4"/>
        <v/>
      </c>
    </row>
    <row r="286" spans="1:1" x14ac:dyDescent="0.2">
      <c r="A286" s="23" t="str">
        <f t="shared" si="4"/>
        <v/>
      </c>
    </row>
    <row r="287" spans="1:1" x14ac:dyDescent="0.2">
      <c r="A287" s="23" t="str">
        <f t="shared" si="4"/>
        <v/>
      </c>
    </row>
    <row r="288" spans="1:1" x14ac:dyDescent="0.2">
      <c r="A288" s="23" t="str">
        <f t="shared" si="4"/>
        <v/>
      </c>
    </row>
    <row r="289" spans="1:1" x14ac:dyDescent="0.2">
      <c r="A289" s="23" t="str">
        <f t="shared" si="4"/>
        <v/>
      </c>
    </row>
    <row r="290" spans="1:1" x14ac:dyDescent="0.2">
      <c r="A290" s="23" t="str">
        <f t="shared" si="4"/>
        <v/>
      </c>
    </row>
    <row r="291" spans="1:1" x14ac:dyDescent="0.2">
      <c r="A291" s="23" t="str">
        <f t="shared" si="4"/>
        <v/>
      </c>
    </row>
    <row r="292" spans="1:1" x14ac:dyDescent="0.2">
      <c r="A292" s="23" t="str">
        <f t="shared" si="4"/>
        <v/>
      </c>
    </row>
    <row r="293" spans="1:1" x14ac:dyDescent="0.2">
      <c r="A293" s="23" t="str">
        <f t="shared" si="4"/>
        <v/>
      </c>
    </row>
    <row r="294" spans="1:1" x14ac:dyDescent="0.2">
      <c r="A294" s="23" t="str">
        <f t="shared" si="4"/>
        <v/>
      </c>
    </row>
    <row r="295" spans="1:1" x14ac:dyDescent="0.2">
      <c r="A295" s="23" t="str">
        <f t="shared" si="4"/>
        <v/>
      </c>
    </row>
    <row r="296" spans="1:1" x14ac:dyDescent="0.2">
      <c r="A296" s="23" t="str">
        <f t="shared" si="4"/>
        <v/>
      </c>
    </row>
    <row r="297" spans="1:1" x14ac:dyDescent="0.2">
      <c r="A297" s="23" t="str">
        <f t="shared" si="4"/>
        <v/>
      </c>
    </row>
    <row r="298" spans="1:1" x14ac:dyDescent="0.2">
      <c r="A298" s="23" t="str">
        <f t="shared" si="4"/>
        <v/>
      </c>
    </row>
    <row r="299" spans="1:1" x14ac:dyDescent="0.2">
      <c r="A299" s="23" t="str">
        <f t="shared" si="4"/>
        <v/>
      </c>
    </row>
    <row r="300" spans="1:1" x14ac:dyDescent="0.2">
      <c r="A300" s="23" t="str">
        <f t="shared" si="4"/>
        <v/>
      </c>
    </row>
    <row r="301" spans="1:1" x14ac:dyDescent="0.2">
      <c r="A301" s="23" t="str">
        <f t="shared" si="4"/>
        <v/>
      </c>
    </row>
    <row r="302" spans="1:1" x14ac:dyDescent="0.2">
      <c r="A302" s="23" t="str">
        <f t="shared" si="4"/>
        <v/>
      </c>
    </row>
    <row r="303" spans="1:1" x14ac:dyDescent="0.2">
      <c r="A303" s="23" t="str">
        <f t="shared" si="4"/>
        <v/>
      </c>
    </row>
    <row r="304" spans="1:1" x14ac:dyDescent="0.2">
      <c r="A304" s="23" t="str">
        <f t="shared" si="4"/>
        <v/>
      </c>
    </row>
    <row r="305" spans="1:1" x14ac:dyDescent="0.2">
      <c r="A305" s="23" t="str">
        <f t="shared" si="4"/>
        <v/>
      </c>
    </row>
    <row r="306" spans="1:1" x14ac:dyDescent="0.2">
      <c r="A306" s="23" t="str">
        <f t="shared" si="4"/>
        <v/>
      </c>
    </row>
    <row r="307" spans="1:1" x14ac:dyDescent="0.2">
      <c r="A307" s="23" t="str">
        <f t="shared" si="4"/>
        <v/>
      </c>
    </row>
    <row r="308" spans="1:1" x14ac:dyDescent="0.2">
      <c r="A308" s="23" t="str">
        <f t="shared" si="4"/>
        <v/>
      </c>
    </row>
    <row r="309" spans="1:1" x14ac:dyDescent="0.2">
      <c r="A309" s="23" t="str">
        <f t="shared" si="4"/>
        <v/>
      </c>
    </row>
    <row r="310" spans="1:1" x14ac:dyDescent="0.2">
      <c r="A310" s="23" t="str">
        <f t="shared" si="4"/>
        <v/>
      </c>
    </row>
    <row r="311" spans="1:1" x14ac:dyDescent="0.2">
      <c r="A311" s="23" t="str">
        <f t="shared" si="4"/>
        <v/>
      </c>
    </row>
    <row r="312" spans="1:1" x14ac:dyDescent="0.2">
      <c r="A312" s="23" t="str">
        <f t="shared" si="4"/>
        <v/>
      </c>
    </row>
    <row r="313" spans="1:1" x14ac:dyDescent="0.2">
      <c r="A313" s="23" t="str">
        <f t="shared" si="4"/>
        <v/>
      </c>
    </row>
    <row r="314" spans="1:1" x14ac:dyDescent="0.2">
      <c r="A314" s="23" t="str">
        <f t="shared" si="4"/>
        <v/>
      </c>
    </row>
    <row r="315" spans="1:1" x14ac:dyDescent="0.2">
      <c r="A315" s="23" t="str">
        <f t="shared" si="4"/>
        <v/>
      </c>
    </row>
    <row r="316" spans="1:1" x14ac:dyDescent="0.2">
      <c r="A316" s="23" t="str">
        <f t="shared" si="4"/>
        <v/>
      </c>
    </row>
    <row r="317" spans="1:1" x14ac:dyDescent="0.2">
      <c r="A317" s="23" t="str">
        <f t="shared" si="4"/>
        <v/>
      </c>
    </row>
    <row r="318" spans="1:1" x14ac:dyDescent="0.2">
      <c r="A318" s="23" t="str">
        <f t="shared" si="4"/>
        <v/>
      </c>
    </row>
    <row r="319" spans="1:1" x14ac:dyDescent="0.2">
      <c r="A319" s="23" t="str">
        <f t="shared" si="4"/>
        <v/>
      </c>
    </row>
    <row r="320" spans="1:1" x14ac:dyDescent="0.2">
      <c r="A320" s="23" t="str">
        <f t="shared" si="4"/>
        <v/>
      </c>
    </row>
    <row r="321" spans="1:1" x14ac:dyDescent="0.2">
      <c r="A321" s="23" t="str">
        <f t="shared" si="4"/>
        <v/>
      </c>
    </row>
    <row r="322" spans="1:1" x14ac:dyDescent="0.2">
      <c r="A322" s="23" t="str">
        <f t="shared" si="4"/>
        <v/>
      </c>
    </row>
    <row r="323" spans="1:1" x14ac:dyDescent="0.2">
      <c r="A323" s="23" t="str">
        <f t="shared" si="4"/>
        <v/>
      </c>
    </row>
    <row r="324" spans="1:1" x14ac:dyDescent="0.2">
      <c r="A324" s="23" t="str">
        <f t="shared" si="4"/>
        <v/>
      </c>
    </row>
    <row r="325" spans="1:1" x14ac:dyDescent="0.2">
      <c r="A325" s="23" t="str">
        <f t="shared" si="4"/>
        <v/>
      </c>
    </row>
    <row r="326" spans="1:1" x14ac:dyDescent="0.2">
      <c r="A326" s="23" t="str">
        <f t="shared" si="4"/>
        <v/>
      </c>
    </row>
    <row r="327" spans="1:1" x14ac:dyDescent="0.2">
      <c r="A327" s="23" t="str">
        <f t="shared" si="4"/>
        <v/>
      </c>
    </row>
    <row r="328" spans="1:1" x14ac:dyDescent="0.2">
      <c r="A328" s="23" t="str">
        <f t="shared" si="4"/>
        <v/>
      </c>
    </row>
    <row r="329" spans="1:1" x14ac:dyDescent="0.2">
      <c r="A329" s="23" t="str">
        <f t="shared" si="4"/>
        <v/>
      </c>
    </row>
    <row r="330" spans="1:1" x14ac:dyDescent="0.2">
      <c r="A330" s="23" t="str">
        <f t="shared" ref="A330:A393" si="5">IF(LEN(B330)&lt;&gt;0,ROW()-9,"")</f>
        <v/>
      </c>
    </row>
    <row r="331" spans="1:1" x14ac:dyDescent="0.2">
      <c r="A331" s="23" t="str">
        <f t="shared" si="5"/>
        <v/>
      </c>
    </row>
    <row r="332" spans="1:1" x14ac:dyDescent="0.2">
      <c r="A332" s="23" t="str">
        <f t="shared" si="5"/>
        <v/>
      </c>
    </row>
    <row r="333" spans="1:1" x14ac:dyDescent="0.2">
      <c r="A333" s="23" t="str">
        <f t="shared" si="5"/>
        <v/>
      </c>
    </row>
    <row r="334" spans="1:1" x14ac:dyDescent="0.2">
      <c r="A334" s="23" t="str">
        <f t="shared" si="5"/>
        <v/>
      </c>
    </row>
    <row r="335" spans="1:1" x14ac:dyDescent="0.2">
      <c r="A335" s="23" t="str">
        <f t="shared" si="5"/>
        <v/>
      </c>
    </row>
    <row r="336" spans="1:1" x14ac:dyDescent="0.2">
      <c r="A336" s="23" t="str">
        <f t="shared" si="5"/>
        <v/>
      </c>
    </row>
    <row r="337" spans="1:1" x14ac:dyDescent="0.2">
      <c r="A337" s="23" t="str">
        <f t="shared" si="5"/>
        <v/>
      </c>
    </row>
    <row r="338" spans="1:1" x14ac:dyDescent="0.2">
      <c r="A338" s="23" t="str">
        <f t="shared" si="5"/>
        <v/>
      </c>
    </row>
    <row r="339" spans="1:1" x14ac:dyDescent="0.2">
      <c r="A339" s="23" t="str">
        <f t="shared" si="5"/>
        <v/>
      </c>
    </row>
    <row r="340" spans="1:1" x14ac:dyDescent="0.2">
      <c r="A340" s="23" t="str">
        <f t="shared" si="5"/>
        <v/>
      </c>
    </row>
    <row r="341" spans="1:1" x14ac:dyDescent="0.2">
      <c r="A341" s="23" t="str">
        <f t="shared" si="5"/>
        <v/>
      </c>
    </row>
    <row r="342" spans="1:1" x14ac:dyDescent="0.2">
      <c r="A342" s="23" t="str">
        <f t="shared" si="5"/>
        <v/>
      </c>
    </row>
    <row r="343" spans="1:1" x14ac:dyDescent="0.2">
      <c r="A343" s="23" t="str">
        <f t="shared" si="5"/>
        <v/>
      </c>
    </row>
    <row r="344" spans="1:1" x14ac:dyDescent="0.2">
      <c r="A344" s="23" t="str">
        <f t="shared" si="5"/>
        <v/>
      </c>
    </row>
    <row r="345" spans="1:1" x14ac:dyDescent="0.2">
      <c r="A345" s="23" t="str">
        <f t="shared" si="5"/>
        <v/>
      </c>
    </row>
    <row r="346" spans="1:1" x14ac:dyDescent="0.2">
      <c r="A346" s="23" t="str">
        <f t="shared" si="5"/>
        <v/>
      </c>
    </row>
    <row r="347" spans="1:1" x14ac:dyDescent="0.2">
      <c r="A347" s="23" t="str">
        <f t="shared" si="5"/>
        <v/>
      </c>
    </row>
    <row r="348" spans="1:1" x14ac:dyDescent="0.2">
      <c r="A348" s="23" t="str">
        <f t="shared" si="5"/>
        <v/>
      </c>
    </row>
    <row r="349" spans="1:1" x14ac:dyDescent="0.2">
      <c r="A349" s="23" t="str">
        <f t="shared" si="5"/>
        <v/>
      </c>
    </row>
    <row r="350" spans="1:1" x14ac:dyDescent="0.2">
      <c r="A350" s="23" t="str">
        <f t="shared" si="5"/>
        <v/>
      </c>
    </row>
    <row r="351" spans="1:1" x14ac:dyDescent="0.2">
      <c r="A351" s="23" t="str">
        <f t="shared" si="5"/>
        <v/>
      </c>
    </row>
    <row r="352" spans="1:1" x14ac:dyDescent="0.2">
      <c r="A352" s="23" t="str">
        <f t="shared" si="5"/>
        <v/>
      </c>
    </row>
    <row r="353" spans="1:1" x14ac:dyDescent="0.2">
      <c r="A353" s="23" t="str">
        <f t="shared" si="5"/>
        <v/>
      </c>
    </row>
    <row r="354" spans="1:1" x14ac:dyDescent="0.2">
      <c r="A354" s="23" t="str">
        <f t="shared" si="5"/>
        <v/>
      </c>
    </row>
    <row r="355" spans="1:1" x14ac:dyDescent="0.2">
      <c r="A355" s="23" t="str">
        <f t="shared" si="5"/>
        <v/>
      </c>
    </row>
    <row r="356" spans="1:1" x14ac:dyDescent="0.2">
      <c r="A356" s="23" t="str">
        <f t="shared" si="5"/>
        <v/>
      </c>
    </row>
    <row r="357" spans="1:1" x14ac:dyDescent="0.2">
      <c r="A357" s="23" t="str">
        <f t="shared" si="5"/>
        <v/>
      </c>
    </row>
    <row r="358" spans="1:1" x14ac:dyDescent="0.2">
      <c r="A358" s="23" t="str">
        <f t="shared" si="5"/>
        <v/>
      </c>
    </row>
    <row r="359" spans="1:1" x14ac:dyDescent="0.2">
      <c r="A359" s="23" t="str">
        <f t="shared" si="5"/>
        <v/>
      </c>
    </row>
    <row r="360" spans="1:1" x14ac:dyDescent="0.2">
      <c r="A360" s="23" t="str">
        <f t="shared" si="5"/>
        <v/>
      </c>
    </row>
    <row r="361" spans="1:1" x14ac:dyDescent="0.2">
      <c r="A361" s="23" t="str">
        <f t="shared" si="5"/>
        <v/>
      </c>
    </row>
    <row r="362" spans="1:1" x14ac:dyDescent="0.2">
      <c r="A362" s="23" t="str">
        <f t="shared" si="5"/>
        <v/>
      </c>
    </row>
    <row r="363" spans="1:1" x14ac:dyDescent="0.2">
      <c r="A363" s="23" t="str">
        <f t="shared" si="5"/>
        <v/>
      </c>
    </row>
    <row r="364" spans="1:1" x14ac:dyDescent="0.2">
      <c r="A364" s="23" t="str">
        <f t="shared" si="5"/>
        <v/>
      </c>
    </row>
    <row r="365" spans="1:1" x14ac:dyDescent="0.2">
      <c r="A365" s="23" t="str">
        <f t="shared" si="5"/>
        <v/>
      </c>
    </row>
    <row r="366" spans="1:1" x14ac:dyDescent="0.2">
      <c r="A366" s="23" t="str">
        <f t="shared" si="5"/>
        <v/>
      </c>
    </row>
    <row r="367" spans="1:1" x14ac:dyDescent="0.2">
      <c r="A367" s="23" t="str">
        <f t="shared" si="5"/>
        <v/>
      </c>
    </row>
    <row r="368" spans="1:1" x14ac:dyDescent="0.2">
      <c r="A368" s="23" t="str">
        <f t="shared" si="5"/>
        <v/>
      </c>
    </row>
    <row r="369" spans="1:1" x14ac:dyDescent="0.2">
      <c r="A369" s="23" t="str">
        <f t="shared" si="5"/>
        <v/>
      </c>
    </row>
    <row r="370" spans="1:1" x14ac:dyDescent="0.2">
      <c r="A370" s="23" t="str">
        <f t="shared" si="5"/>
        <v/>
      </c>
    </row>
    <row r="371" spans="1:1" x14ac:dyDescent="0.2">
      <c r="A371" s="23" t="str">
        <f t="shared" si="5"/>
        <v/>
      </c>
    </row>
    <row r="372" spans="1:1" x14ac:dyDescent="0.2">
      <c r="A372" s="23" t="str">
        <f t="shared" si="5"/>
        <v/>
      </c>
    </row>
    <row r="373" spans="1:1" x14ac:dyDescent="0.2">
      <c r="A373" s="23" t="str">
        <f t="shared" si="5"/>
        <v/>
      </c>
    </row>
    <row r="374" spans="1:1" x14ac:dyDescent="0.2">
      <c r="A374" s="23" t="str">
        <f t="shared" si="5"/>
        <v/>
      </c>
    </row>
    <row r="375" spans="1:1" x14ac:dyDescent="0.2">
      <c r="A375" s="23" t="str">
        <f t="shared" si="5"/>
        <v/>
      </c>
    </row>
    <row r="376" spans="1:1" x14ac:dyDescent="0.2">
      <c r="A376" s="23" t="str">
        <f t="shared" si="5"/>
        <v/>
      </c>
    </row>
    <row r="377" spans="1:1" x14ac:dyDescent="0.2">
      <c r="A377" s="23" t="str">
        <f t="shared" si="5"/>
        <v/>
      </c>
    </row>
    <row r="378" spans="1:1" x14ac:dyDescent="0.2">
      <c r="A378" s="23" t="str">
        <f t="shared" si="5"/>
        <v/>
      </c>
    </row>
    <row r="379" spans="1:1" x14ac:dyDescent="0.2">
      <c r="A379" s="23" t="str">
        <f t="shared" si="5"/>
        <v/>
      </c>
    </row>
    <row r="380" spans="1:1" x14ac:dyDescent="0.2">
      <c r="A380" s="23" t="str">
        <f t="shared" si="5"/>
        <v/>
      </c>
    </row>
    <row r="381" spans="1:1" x14ac:dyDescent="0.2">
      <c r="A381" s="23" t="str">
        <f t="shared" si="5"/>
        <v/>
      </c>
    </row>
    <row r="382" spans="1:1" x14ac:dyDescent="0.2">
      <c r="A382" s="23" t="str">
        <f t="shared" si="5"/>
        <v/>
      </c>
    </row>
    <row r="383" spans="1:1" x14ac:dyDescent="0.2">
      <c r="A383" s="23" t="str">
        <f t="shared" si="5"/>
        <v/>
      </c>
    </row>
    <row r="384" spans="1:1" x14ac:dyDescent="0.2">
      <c r="A384" s="23" t="str">
        <f t="shared" si="5"/>
        <v/>
      </c>
    </row>
    <row r="385" spans="1:1" x14ac:dyDescent="0.2">
      <c r="A385" s="23" t="str">
        <f t="shared" si="5"/>
        <v/>
      </c>
    </row>
    <row r="386" spans="1:1" x14ac:dyDescent="0.2">
      <c r="A386" s="23" t="str">
        <f t="shared" si="5"/>
        <v/>
      </c>
    </row>
    <row r="387" spans="1:1" x14ac:dyDescent="0.2">
      <c r="A387" s="23" t="str">
        <f t="shared" si="5"/>
        <v/>
      </c>
    </row>
    <row r="388" spans="1:1" x14ac:dyDescent="0.2">
      <c r="A388" s="23" t="str">
        <f t="shared" si="5"/>
        <v/>
      </c>
    </row>
    <row r="389" spans="1:1" x14ac:dyDescent="0.2">
      <c r="A389" s="23" t="str">
        <f t="shared" si="5"/>
        <v/>
      </c>
    </row>
    <row r="390" spans="1:1" x14ac:dyDescent="0.2">
      <c r="A390" s="23" t="str">
        <f t="shared" si="5"/>
        <v/>
      </c>
    </row>
    <row r="391" spans="1:1" x14ac:dyDescent="0.2">
      <c r="A391" s="23" t="str">
        <f t="shared" si="5"/>
        <v/>
      </c>
    </row>
    <row r="392" spans="1:1" x14ac:dyDescent="0.2">
      <c r="A392" s="23" t="str">
        <f t="shared" si="5"/>
        <v/>
      </c>
    </row>
    <row r="393" spans="1:1" x14ac:dyDescent="0.2">
      <c r="A393" s="23" t="str">
        <f t="shared" si="5"/>
        <v/>
      </c>
    </row>
    <row r="394" spans="1:1" x14ac:dyDescent="0.2">
      <c r="A394" s="23" t="str">
        <f t="shared" ref="A394:A457" si="6">IF(LEN(B394)&lt;&gt;0,ROW()-9,"")</f>
        <v/>
      </c>
    </row>
    <row r="395" spans="1:1" x14ac:dyDescent="0.2">
      <c r="A395" s="23" t="str">
        <f t="shared" si="6"/>
        <v/>
      </c>
    </row>
    <row r="396" spans="1:1" x14ac:dyDescent="0.2">
      <c r="A396" s="23" t="str">
        <f t="shared" si="6"/>
        <v/>
      </c>
    </row>
    <row r="397" spans="1:1" x14ac:dyDescent="0.2">
      <c r="A397" s="23" t="str">
        <f t="shared" si="6"/>
        <v/>
      </c>
    </row>
    <row r="398" spans="1:1" x14ac:dyDescent="0.2">
      <c r="A398" s="23" t="str">
        <f t="shared" si="6"/>
        <v/>
      </c>
    </row>
    <row r="399" spans="1:1" x14ac:dyDescent="0.2">
      <c r="A399" s="23" t="str">
        <f t="shared" si="6"/>
        <v/>
      </c>
    </row>
    <row r="400" spans="1:1" x14ac:dyDescent="0.2">
      <c r="A400" s="23" t="str">
        <f t="shared" si="6"/>
        <v/>
      </c>
    </row>
    <row r="401" spans="1:1" x14ac:dyDescent="0.2">
      <c r="A401" s="23" t="str">
        <f t="shared" si="6"/>
        <v/>
      </c>
    </row>
    <row r="402" spans="1:1" x14ac:dyDescent="0.2">
      <c r="A402" s="23" t="str">
        <f t="shared" si="6"/>
        <v/>
      </c>
    </row>
    <row r="403" spans="1:1" x14ac:dyDescent="0.2">
      <c r="A403" s="23" t="str">
        <f t="shared" si="6"/>
        <v/>
      </c>
    </row>
    <row r="404" spans="1:1" x14ac:dyDescent="0.2">
      <c r="A404" s="23" t="str">
        <f t="shared" si="6"/>
        <v/>
      </c>
    </row>
    <row r="405" spans="1:1" x14ac:dyDescent="0.2">
      <c r="A405" s="23" t="str">
        <f t="shared" si="6"/>
        <v/>
      </c>
    </row>
    <row r="406" spans="1:1" x14ac:dyDescent="0.2">
      <c r="A406" s="23" t="str">
        <f t="shared" si="6"/>
        <v/>
      </c>
    </row>
    <row r="407" spans="1:1" x14ac:dyDescent="0.2">
      <c r="A407" s="23" t="str">
        <f t="shared" si="6"/>
        <v/>
      </c>
    </row>
    <row r="408" spans="1:1" x14ac:dyDescent="0.2">
      <c r="A408" s="23" t="str">
        <f t="shared" si="6"/>
        <v/>
      </c>
    </row>
    <row r="409" spans="1:1" x14ac:dyDescent="0.2">
      <c r="A409" s="23" t="str">
        <f t="shared" si="6"/>
        <v/>
      </c>
    </row>
    <row r="410" spans="1:1" x14ac:dyDescent="0.2">
      <c r="A410" s="23" t="str">
        <f t="shared" si="6"/>
        <v/>
      </c>
    </row>
    <row r="411" spans="1:1" x14ac:dyDescent="0.2">
      <c r="A411" s="23" t="str">
        <f t="shared" si="6"/>
        <v/>
      </c>
    </row>
    <row r="412" spans="1:1" x14ac:dyDescent="0.2">
      <c r="A412" s="23" t="str">
        <f t="shared" si="6"/>
        <v/>
      </c>
    </row>
    <row r="413" spans="1:1" x14ac:dyDescent="0.2">
      <c r="A413" s="23" t="str">
        <f t="shared" si="6"/>
        <v/>
      </c>
    </row>
    <row r="414" spans="1:1" x14ac:dyDescent="0.2">
      <c r="A414" s="23" t="str">
        <f t="shared" si="6"/>
        <v/>
      </c>
    </row>
    <row r="415" spans="1:1" x14ac:dyDescent="0.2">
      <c r="A415" s="23" t="str">
        <f t="shared" si="6"/>
        <v/>
      </c>
    </row>
    <row r="416" spans="1:1" x14ac:dyDescent="0.2">
      <c r="A416" s="23" t="str">
        <f t="shared" si="6"/>
        <v/>
      </c>
    </row>
    <row r="417" spans="1:1" x14ac:dyDescent="0.2">
      <c r="A417" s="23" t="str">
        <f t="shared" si="6"/>
        <v/>
      </c>
    </row>
    <row r="418" spans="1:1" x14ac:dyDescent="0.2">
      <c r="A418" s="23" t="str">
        <f t="shared" si="6"/>
        <v/>
      </c>
    </row>
    <row r="419" spans="1:1" x14ac:dyDescent="0.2">
      <c r="A419" s="23" t="str">
        <f t="shared" si="6"/>
        <v/>
      </c>
    </row>
    <row r="420" spans="1:1" x14ac:dyDescent="0.2">
      <c r="A420" s="23" t="str">
        <f t="shared" si="6"/>
        <v/>
      </c>
    </row>
    <row r="421" spans="1:1" x14ac:dyDescent="0.2">
      <c r="A421" s="23" t="str">
        <f t="shared" si="6"/>
        <v/>
      </c>
    </row>
    <row r="422" spans="1:1" x14ac:dyDescent="0.2">
      <c r="A422" s="23" t="str">
        <f t="shared" si="6"/>
        <v/>
      </c>
    </row>
    <row r="423" spans="1:1" x14ac:dyDescent="0.2">
      <c r="A423" s="23" t="str">
        <f t="shared" si="6"/>
        <v/>
      </c>
    </row>
    <row r="424" spans="1:1" x14ac:dyDescent="0.2">
      <c r="A424" s="23" t="str">
        <f t="shared" si="6"/>
        <v/>
      </c>
    </row>
    <row r="425" spans="1:1" x14ac:dyDescent="0.2">
      <c r="A425" s="23" t="str">
        <f t="shared" si="6"/>
        <v/>
      </c>
    </row>
    <row r="426" spans="1:1" x14ac:dyDescent="0.2">
      <c r="A426" s="23" t="str">
        <f t="shared" si="6"/>
        <v/>
      </c>
    </row>
    <row r="427" spans="1:1" x14ac:dyDescent="0.2">
      <c r="A427" s="23" t="str">
        <f t="shared" si="6"/>
        <v/>
      </c>
    </row>
    <row r="428" spans="1:1" x14ac:dyDescent="0.2">
      <c r="A428" s="23" t="str">
        <f t="shared" si="6"/>
        <v/>
      </c>
    </row>
    <row r="429" spans="1:1" x14ac:dyDescent="0.2">
      <c r="A429" s="23" t="str">
        <f t="shared" si="6"/>
        <v/>
      </c>
    </row>
    <row r="430" spans="1:1" x14ac:dyDescent="0.2">
      <c r="A430" s="23" t="str">
        <f t="shared" si="6"/>
        <v/>
      </c>
    </row>
    <row r="431" spans="1:1" x14ac:dyDescent="0.2">
      <c r="A431" s="23" t="str">
        <f t="shared" si="6"/>
        <v/>
      </c>
    </row>
    <row r="432" spans="1:1" x14ac:dyDescent="0.2">
      <c r="A432" s="23" t="str">
        <f t="shared" si="6"/>
        <v/>
      </c>
    </row>
    <row r="433" spans="1:1" x14ac:dyDescent="0.2">
      <c r="A433" s="23" t="str">
        <f t="shared" si="6"/>
        <v/>
      </c>
    </row>
    <row r="434" spans="1:1" x14ac:dyDescent="0.2">
      <c r="A434" s="23" t="str">
        <f t="shared" si="6"/>
        <v/>
      </c>
    </row>
    <row r="435" spans="1:1" x14ac:dyDescent="0.2">
      <c r="A435" s="23" t="str">
        <f t="shared" si="6"/>
        <v/>
      </c>
    </row>
    <row r="436" spans="1:1" x14ac:dyDescent="0.2">
      <c r="A436" s="23" t="str">
        <f t="shared" si="6"/>
        <v/>
      </c>
    </row>
    <row r="437" spans="1:1" x14ac:dyDescent="0.2">
      <c r="A437" s="23" t="str">
        <f t="shared" si="6"/>
        <v/>
      </c>
    </row>
    <row r="438" spans="1:1" x14ac:dyDescent="0.2">
      <c r="A438" s="23" t="str">
        <f t="shared" si="6"/>
        <v/>
      </c>
    </row>
    <row r="439" spans="1:1" x14ac:dyDescent="0.2">
      <c r="A439" s="23" t="str">
        <f t="shared" si="6"/>
        <v/>
      </c>
    </row>
    <row r="440" spans="1:1" x14ac:dyDescent="0.2">
      <c r="A440" s="23" t="str">
        <f t="shared" si="6"/>
        <v/>
      </c>
    </row>
    <row r="441" spans="1:1" x14ac:dyDescent="0.2">
      <c r="A441" s="23" t="str">
        <f t="shared" si="6"/>
        <v/>
      </c>
    </row>
    <row r="442" spans="1:1" x14ac:dyDescent="0.2">
      <c r="A442" s="23" t="str">
        <f t="shared" si="6"/>
        <v/>
      </c>
    </row>
    <row r="443" spans="1:1" x14ac:dyDescent="0.2">
      <c r="A443" s="23" t="str">
        <f t="shared" si="6"/>
        <v/>
      </c>
    </row>
    <row r="444" spans="1:1" x14ac:dyDescent="0.2">
      <c r="A444" s="23" t="str">
        <f t="shared" si="6"/>
        <v/>
      </c>
    </row>
    <row r="445" spans="1:1" x14ac:dyDescent="0.2">
      <c r="A445" s="23" t="str">
        <f t="shared" si="6"/>
        <v/>
      </c>
    </row>
    <row r="446" spans="1:1" x14ac:dyDescent="0.2">
      <c r="A446" s="23" t="str">
        <f t="shared" si="6"/>
        <v/>
      </c>
    </row>
    <row r="447" spans="1:1" x14ac:dyDescent="0.2">
      <c r="A447" s="23" t="str">
        <f t="shared" si="6"/>
        <v/>
      </c>
    </row>
    <row r="448" spans="1:1" x14ac:dyDescent="0.2">
      <c r="A448" s="23" t="str">
        <f t="shared" si="6"/>
        <v/>
      </c>
    </row>
    <row r="449" spans="1:1" x14ac:dyDescent="0.2">
      <c r="A449" s="23" t="str">
        <f t="shared" si="6"/>
        <v/>
      </c>
    </row>
    <row r="450" spans="1:1" x14ac:dyDescent="0.2">
      <c r="A450" s="23" t="str">
        <f t="shared" si="6"/>
        <v/>
      </c>
    </row>
    <row r="451" spans="1:1" x14ac:dyDescent="0.2">
      <c r="A451" s="23" t="str">
        <f t="shared" si="6"/>
        <v/>
      </c>
    </row>
    <row r="452" spans="1:1" x14ac:dyDescent="0.2">
      <c r="A452" s="23" t="str">
        <f t="shared" si="6"/>
        <v/>
      </c>
    </row>
    <row r="453" spans="1:1" x14ac:dyDescent="0.2">
      <c r="A453" s="23" t="str">
        <f t="shared" si="6"/>
        <v/>
      </c>
    </row>
    <row r="454" spans="1:1" x14ac:dyDescent="0.2">
      <c r="A454" s="23" t="str">
        <f t="shared" si="6"/>
        <v/>
      </c>
    </row>
    <row r="455" spans="1:1" x14ac:dyDescent="0.2">
      <c r="A455" s="23" t="str">
        <f t="shared" si="6"/>
        <v/>
      </c>
    </row>
    <row r="456" spans="1:1" x14ac:dyDescent="0.2">
      <c r="A456" s="23" t="str">
        <f t="shared" si="6"/>
        <v/>
      </c>
    </row>
    <row r="457" spans="1:1" x14ac:dyDescent="0.2">
      <c r="A457" s="23" t="str">
        <f t="shared" si="6"/>
        <v/>
      </c>
    </row>
    <row r="458" spans="1:1" x14ac:dyDescent="0.2">
      <c r="A458" s="23" t="str">
        <f t="shared" ref="A458:A521" si="7">IF(LEN(B458)&lt;&gt;0,ROW()-9,"")</f>
        <v/>
      </c>
    </row>
    <row r="459" spans="1:1" x14ac:dyDescent="0.2">
      <c r="A459" s="23" t="str">
        <f t="shared" si="7"/>
        <v/>
      </c>
    </row>
    <row r="460" spans="1:1" x14ac:dyDescent="0.2">
      <c r="A460" s="23" t="str">
        <f t="shared" si="7"/>
        <v/>
      </c>
    </row>
    <row r="461" spans="1:1" x14ac:dyDescent="0.2">
      <c r="A461" s="23" t="str">
        <f t="shared" si="7"/>
        <v/>
      </c>
    </row>
    <row r="462" spans="1:1" x14ac:dyDescent="0.2">
      <c r="A462" s="23" t="str">
        <f t="shared" si="7"/>
        <v/>
      </c>
    </row>
    <row r="463" spans="1:1" x14ac:dyDescent="0.2">
      <c r="A463" s="23" t="str">
        <f t="shared" si="7"/>
        <v/>
      </c>
    </row>
    <row r="464" spans="1:1" x14ac:dyDescent="0.2">
      <c r="A464" s="23" t="str">
        <f t="shared" si="7"/>
        <v/>
      </c>
    </row>
    <row r="465" spans="1:1" x14ac:dyDescent="0.2">
      <c r="A465" s="23" t="str">
        <f t="shared" si="7"/>
        <v/>
      </c>
    </row>
    <row r="466" spans="1:1" x14ac:dyDescent="0.2">
      <c r="A466" s="23" t="str">
        <f t="shared" si="7"/>
        <v/>
      </c>
    </row>
    <row r="467" spans="1:1" x14ac:dyDescent="0.2">
      <c r="A467" s="23" t="str">
        <f t="shared" si="7"/>
        <v/>
      </c>
    </row>
    <row r="468" spans="1:1" x14ac:dyDescent="0.2">
      <c r="A468" s="23" t="str">
        <f t="shared" si="7"/>
        <v/>
      </c>
    </row>
    <row r="469" spans="1:1" x14ac:dyDescent="0.2">
      <c r="A469" s="23" t="str">
        <f t="shared" si="7"/>
        <v/>
      </c>
    </row>
    <row r="470" spans="1:1" x14ac:dyDescent="0.2">
      <c r="A470" s="23" t="str">
        <f t="shared" si="7"/>
        <v/>
      </c>
    </row>
    <row r="471" spans="1:1" x14ac:dyDescent="0.2">
      <c r="A471" s="23" t="str">
        <f t="shared" si="7"/>
        <v/>
      </c>
    </row>
    <row r="472" spans="1:1" x14ac:dyDescent="0.2">
      <c r="A472" s="23" t="str">
        <f t="shared" si="7"/>
        <v/>
      </c>
    </row>
    <row r="473" spans="1:1" x14ac:dyDescent="0.2">
      <c r="A473" s="23" t="str">
        <f t="shared" si="7"/>
        <v/>
      </c>
    </row>
    <row r="474" spans="1:1" x14ac:dyDescent="0.2">
      <c r="A474" s="23" t="str">
        <f t="shared" si="7"/>
        <v/>
      </c>
    </row>
    <row r="475" spans="1:1" x14ac:dyDescent="0.2">
      <c r="A475" s="23" t="str">
        <f t="shared" si="7"/>
        <v/>
      </c>
    </row>
    <row r="476" spans="1:1" x14ac:dyDescent="0.2">
      <c r="A476" s="23" t="str">
        <f t="shared" si="7"/>
        <v/>
      </c>
    </row>
    <row r="477" spans="1:1" x14ac:dyDescent="0.2">
      <c r="A477" s="23" t="str">
        <f t="shared" si="7"/>
        <v/>
      </c>
    </row>
    <row r="478" spans="1:1" x14ac:dyDescent="0.2">
      <c r="A478" s="23" t="str">
        <f t="shared" si="7"/>
        <v/>
      </c>
    </row>
    <row r="479" spans="1:1" x14ac:dyDescent="0.2">
      <c r="A479" s="23" t="str">
        <f t="shared" si="7"/>
        <v/>
      </c>
    </row>
    <row r="480" spans="1:1" x14ac:dyDescent="0.2">
      <c r="A480" s="23" t="str">
        <f t="shared" si="7"/>
        <v/>
      </c>
    </row>
    <row r="481" spans="1:1" x14ac:dyDescent="0.2">
      <c r="A481" s="23" t="str">
        <f t="shared" si="7"/>
        <v/>
      </c>
    </row>
    <row r="482" spans="1:1" x14ac:dyDescent="0.2">
      <c r="A482" s="23" t="str">
        <f t="shared" si="7"/>
        <v/>
      </c>
    </row>
    <row r="483" spans="1:1" x14ac:dyDescent="0.2">
      <c r="A483" s="23" t="str">
        <f t="shared" si="7"/>
        <v/>
      </c>
    </row>
    <row r="484" spans="1:1" x14ac:dyDescent="0.2">
      <c r="A484" s="23" t="str">
        <f t="shared" si="7"/>
        <v/>
      </c>
    </row>
    <row r="485" spans="1:1" x14ac:dyDescent="0.2">
      <c r="A485" s="23" t="str">
        <f t="shared" si="7"/>
        <v/>
      </c>
    </row>
    <row r="486" spans="1:1" x14ac:dyDescent="0.2">
      <c r="A486" s="23" t="str">
        <f t="shared" si="7"/>
        <v/>
      </c>
    </row>
    <row r="487" spans="1:1" x14ac:dyDescent="0.2">
      <c r="A487" s="23" t="str">
        <f t="shared" si="7"/>
        <v/>
      </c>
    </row>
    <row r="488" spans="1:1" x14ac:dyDescent="0.2">
      <c r="A488" s="23" t="str">
        <f t="shared" si="7"/>
        <v/>
      </c>
    </row>
    <row r="489" spans="1:1" x14ac:dyDescent="0.2">
      <c r="A489" s="23" t="str">
        <f t="shared" si="7"/>
        <v/>
      </c>
    </row>
    <row r="490" spans="1:1" x14ac:dyDescent="0.2">
      <c r="A490" s="23" t="str">
        <f t="shared" si="7"/>
        <v/>
      </c>
    </row>
    <row r="491" spans="1:1" x14ac:dyDescent="0.2">
      <c r="A491" s="23" t="str">
        <f t="shared" si="7"/>
        <v/>
      </c>
    </row>
    <row r="492" spans="1:1" x14ac:dyDescent="0.2">
      <c r="A492" s="23" t="str">
        <f t="shared" si="7"/>
        <v/>
      </c>
    </row>
    <row r="493" spans="1:1" x14ac:dyDescent="0.2">
      <c r="A493" s="23" t="str">
        <f t="shared" si="7"/>
        <v/>
      </c>
    </row>
    <row r="494" spans="1:1" x14ac:dyDescent="0.2">
      <c r="A494" s="23" t="str">
        <f t="shared" si="7"/>
        <v/>
      </c>
    </row>
    <row r="495" spans="1:1" x14ac:dyDescent="0.2">
      <c r="A495" s="23" t="str">
        <f t="shared" si="7"/>
        <v/>
      </c>
    </row>
    <row r="496" spans="1:1" x14ac:dyDescent="0.2">
      <c r="A496" s="23" t="str">
        <f t="shared" si="7"/>
        <v/>
      </c>
    </row>
    <row r="497" spans="1:1" x14ac:dyDescent="0.2">
      <c r="A497" s="23" t="str">
        <f t="shared" si="7"/>
        <v/>
      </c>
    </row>
    <row r="498" spans="1:1" x14ac:dyDescent="0.2">
      <c r="A498" s="23" t="str">
        <f t="shared" si="7"/>
        <v/>
      </c>
    </row>
    <row r="499" spans="1:1" x14ac:dyDescent="0.2">
      <c r="A499" s="23" t="str">
        <f t="shared" si="7"/>
        <v/>
      </c>
    </row>
    <row r="500" spans="1:1" x14ac:dyDescent="0.2">
      <c r="A500" s="23" t="str">
        <f t="shared" si="7"/>
        <v/>
      </c>
    </row>
    <row r="501" spans="1:1" x14ac:dyDescent="0.2">
      <c r="A501" s="23" t="str">
        <f t="shared" si="7"/>
        <v/>
      </c>
    </row>
    <row r="502" spans="1:1" x14ac:dyDescent="0.2">
      <c r="A502" s="23" t="str">
        <f t="shared" si="7"/>
        <v/>
      </c>
    </row>
    <row r="503" spans="1:1" x14ac:dyDescent="0.2">
      <c r="A503" s="23" t="str">
        <f t="shared" si="7"/>
        <v/>
      </c>
    </row>
    <row r="504" spans="1:1" x14ac:dyDescent="0.2">
      <c r="A504" s="23" t="str">
        <f t="shared" si="7"/>
        <v/>
      </c>
    </row>
    <row r="505" spans="1:1" x14ac:dyDescent="0.2">
      <c r="A505" s="23" t="str">
        <f t="shared" si="7"/>
        <v/>
      </c>
    </row>
    <row r="506" spans="1:1" x14ac:dyDescent="0.2">
      <c r="A506" s="23" t="str">
        <f t="shared" si="7"/>
        <v/>
      </c>
    </row>
    <row r="507" spans="1:1" x14ac:dyDescent="0.2">
      <c r="A507" s="23" t="str">
        <f t="shared" si="7"/>
        <v/>
      </c>
    </row>
    <row r="508" spans="1:1" x14ac:dyDescent="0.2">
      <c r="A508" s="23" t="str">
        <f t="shared" si="7"/>
        <v/>
      </c>
    </row>
    <row r="509" spans="1:1" x14ac:dyDescent="0.2">
      <c r="A509" s="23" t="str">
        <f t="shared" si="7"/>
        <v/>
      </c>
    </row>
    <row r="510" spans="1:1" x14ac:dyDescent="0.2">
      <c r="A510" s="23" t="str">
        <f t="shared" si="7"/>
        <v/>
      </c>
    </row>
    <row r="511" spans="1:1" x14ac:dyDescent="0.2">
      <c r="A511" s="23" t="str">
        <f t="shared" si="7"/>
        <v/>
      </c>
    </row>
    <row r="512" spans="1:1" x14ac:dyDescent="0.2">
      <c r="A512" s="23" t="str">
        <f t="shared" si="7"/>
        <v/>
      </c>
    </row>
    <row r="513" spans="1:1" x14ac:dyDescent="0.2">
      <c r="A513" s="23" t="str">
        <f t="shared" si="7"/>
        <v/>
      </c>
    </row>
    <row r="514" spans="1:1" x14ac:dyDescent="0.2">
      <c r="A514" s="23" t="str">
        <f t="shared" si="7"/>
        <v/>
      </c>
    </row>
    <row r="515" spans="1:1" x14ac:dyDescent="0.2">
      <c r="A515" s="23" t="str">
        <f t="shared" si="7"/>
        <v/>
      </c>
    </row>
    <row r="516" spans="1:1" x14ac:dyDescent="0.2">
      <c r="A516" s="23" t="str">
        <f t="shared" si="7"/>
        <v/>
      </c>
    </row>
    <row r="517" spans="1:1" x14ac:dyDescent="0.2">
      <c r="A517" s="23" t="str">
        <f t="shared" si="7"/>
        <v/>
      </c>
    </row>
    <row r="518" spans="1:1" x14ac:dyDescent="0.2">
      <c r="A518" s="23" t="str">
        <f t="shared" si="7"/>
        <v/>
      </c>
    </row>
    <row r="519" spans="1:1" x14ac:dyDescent="0.2">
      <c r="A519" s="23" t="str">
        <f t="shared" si="7"/>
        <v/>
      </c>
    </row>
    <row r="520" spans="1:1" x14ac:dyDescent="0.2">
      <c r="A520" s="23" t="str">
        <f t="shared" si="7"/>
        <v/>
      </c>
    </row>
    <row r="521" spans="1:1" x14ac:dyDescent="0.2">
      <c r="A521" s="23" t="str">
        <f t="shared" si="7"/>
        <v/>
      </c>
    </row>
    <row r="522" spans="1:1" x14ac:dyDescent="0.2">
      <c r="A522" s="23" t="str">
        <f t="shared" ref="A522:A585" si="8">IF(LEN(B522)&lt;&gt;0,ROW()-9,"")</f>
        <v/>
      </c>
    </row>
    <row r="523" spans="1:1" x14ac:dyDescent="0.2">
      <c r="A523" s="23" t="str">
        <f t="shared" si="8"/>
        <v/>
      </c>
    </row>
    <row r="524" spans="1:1" x14ac:dyDescent="0.2">
      <c r="A524" s="23" t="str">
        <f t="shared" si="8"/>
        <v/>
      </c>
    </row>
    <row r="525" spans="1:1" x14ac:dyDescent="0.2">
      <c r="A525" s="23" t="str">
        <f t="shared" si="8"/>
        <v/>
      </c>
    </row>
    <row r="526" spans="1:1" x14ac:dyDescent="0.2">
      <c r="A526" s="23" t="str">
        <f t="shared" si="8"/>
        <v/>
      </c>
    </row>
    <row r="527" spans="1:1" x14ac:dyDescent="0.2">
      <c r="A527" s="23" t="str">
        <f t="shared" si="8"/>
        <v/>
      </c>
    </row>
    <row r="528" spans="1:1" x14ac:dyDescent="0.2">
      <c r="A528" s="23" t="str">
        <f t="shared" si="8"/>
        <v/>
      </c>
    </row>
    <row r="529" spans="1:1" x14ac:dyDescent="0.2">
      <c r="A529" s="23" t="str">
        <f t="shared" si="8"/>
        <v/>
      </c>
    </row>
    <row r="530" spans="1:1" x14ac:dyDescent="0.2">
      <c r="A530" s="23" t="str">
        <f t="shared" si="8"/>
        <v/>
      </c>
    </row>
    <row r="531" spans="1:1" x14ac:dyDescent="0.2">
      <c r="A531" s="23" t="str">
        <f t="shared" si="8"/>
        <v/>
      </c>
    </row>
    <row r="532" spans="1:1" x14ac:dyDescent="0.2">
      <c r="A532" s="23" t="str">
        <f t="shared" si="8"/>
        <v/>
      </c>
    </row>
    <row r="533" spans="1:1" x14ac:dyDescent="0.2">
      <c r="A533" s="23" t="str">
        <f t="shared" si="8"/>
        <v/>
      </c>
    </row>
    <row r="534" spans="1:1" x14ac:dyDescent="0.2">
      <c r="A534" s="23" t="str">
        <f t="shared" si="8"/>
        <v/>
      </c>
    </row>
    <row r="535" spans="1:1" x14ac:dyDescent="0.2">
      <c r="A535" s="23" t="str">
        <f t="shared" si="8"/>
        <v/>
      </c>
    </row>
    <row r="536" spans="1:1" x14ac:dyDescent="0.2">
      <c r="A536" s="23" t="str">
        <f t="shared" si="8"/>
        <v/>
      </c>
    </row>
    <row r="537" spans="1:1" x14ac:dyDescent="0.2">
      <c r="A537" s="23" t="str">
        <f t="shared" si="8"/>
        <v/>
      </c>
    </row>
    <row r="538" spans="1:1" x14ac:dyDescent="0.2">
      <c r="A538" s="23" t="str">
        <f t="shared" si="8"/>
        <v/>
      </c>
    </row>
    <row r="539" spans="1:1" x14ac:dyDescent="0.2">
      <c r="A539" s="23" t="str">
        <f t="shared" si="8"/>
        <v/>
      </c>
    </row>
    <row r="540" spans="1:1" x14ac:dyDescent="0.2">
      <c r="A540" s="23" t="str">
        <f t="shared" si="8"/>
        <v/>
      </c>
    </row>
    <row r="541" spans="1:1" x14ac:dyDescent="0.2">
      <c r="A541" s="23" t="str">
        <f t="shared" si="8"/>
        <v/>
      </c>
    </row>
    <row r="542" spans="1:1" x14ac:dyDescent="0.2">
      <c r="A542" s="23" t="str">
        <f t="shared" si="8"/>
        <v/>
      </c>
    </row>
    <row r="543" spans="1:1" x14ac:dyDescent="0.2">
      <c r="A543" s="23" t="str">
        <f t="shared" si="8"/>
        <v/>
      </c>
    </row>
    <row r="544" spans="1:1" x14ac:dyDescent="0.2">
      <c r="A544" s="23" t="str">
        <f t="shared" si="8"/>
        <v/>
      </c>
    </row>
    <row r="545" spans="1:1" x14ac:dyDescent="0.2">
      <c r="A545" s="23" t="str">
        <f t="shared" si="8"/>
        <v/>
      </c>
    </row>
    <row r="546" spans="1:1" x14ac:dyDescent="0.2">
      <c r="A546" s="23" t="str">
        <f t="shared" si="8"/>
        <v/>
      </c>
    </row>
    <row r="547" spans="1:1" x14ac:dyDescent="0.2">
      <c r="A547" s="23" t="str">
        <f t="shared" si="8"/>
        <v/>
      </c>
    </row>
    <row r="548" spans="1:1" x14ac:dyDescent="0.2">
      <c r="A548" s="23" t="str">
        <f t="shared" si="8"/>
        <v/>
      </c>
    </row>
    <row r="549" spans="1:1" x14ac:dyDescent="0.2">
      <c r="A549" s="23" t="str">
        <f t="shared" si="8"/>
        <v/>
      </c>
    </row>
    <row r="550" spans="1:1" x14ac:dyDescent="0.2">
      <c r="A550" s="23" t="str">
        <f t="shared" si="8"/>
        <v/>
      </c>
    </row>
    <row r="551" spans="1:1" x14ac:dyDescent="0.2">
      <c r="A551" s="23" t="str">
        <f t="shared" si="8"/>
        <v/>
      </c>
    </row>
    <row r="552" spans="1:1" x14ac:dyDescent="0.2">
      <c r="A552" s="23" t="str">
        <f t="shared" si="8"/>
        <v/>
      </c>
    </row>
    <row r="553" spans="1:1" x14ac:dyDescent="0.2">
      <c r="A553" s="23" t="str">
        <f t="shared" si="8"/>
        <v/>
      </c>
    </row>
    <row r="554" spans="1:1" x14ac:dyDescent="0.2">
      <c r="A554" s="23" t="str">
        <f t="shared" si="8"/>
        <v/>
      </c>
    </row>
    <row r="555" spans="1:1" x14ac:dyDescent="0.2">
      <c r="A555" s="23" t="str">
        <f t="shared" si="8"/>
        <v/>
      </c>
    </row>
    <row r="556" spans="1:1" x14ac:dyDescent="0.2">
      <c r="A556" s="23" t="str">
        <f t="shared" si="8"/>
        <v/>
      </c>
    </row>
    <row r="557" spans="1:1" x14ac:dyDescent="0.2">
      <c r="A557" s="23" t="str">
        <f t="shared" si="8"/>
        <v/>
      </c>
    </row>
    <row r="558" spans="1:1" x14ac:dyDescent="0.2">
      <c r="A558" s="23" t="str">
        <f t="shared" si="8"/>
        <v/>
      </c>
    </row>
    <row r="559" spans="1:1" x14ac:dyDescent="0.2">
      <c r="A559" s="23" t="str">
        <f t="shared" si="8"/>
        <v/>
      </c>
    </row>
    <row r="560" spans="1:1" x14ac:dyDescent="0.2">
      <c r="A560" s="23" t="str">
        <f t="shared" si="8"/>
        <v/>
      </c>
    </row>
    <row r="561" spans="1:1" x14ac:dyDescent="0.2">
      <c r="A561" s="23" t="str">
        <f t="shared" si="8"/>
        <v/>
      </c>
    </row>
    <row r="562" spans="1:1" x14ac:dyDescent="0.2">
      <c r="A562" s="23" t="str">
        <f t="shared" si="8"/>
        <v/>
      </c>
    </row>
    <row r="563" spans="1:1" x14ac:dyDescent="0.2">
      <c r="A563" s="23" t="str">
        <f t="shared" si="8"/>
        <v/>
      </c>
    </row>
    <row r="564" spans="1:1" x14ac:dyDescent="0.2">
      <c r="A564" s="23" t="str">
        <f t="shared" si="8"/>
        <v/>
      </c>
    </row>
    <row r="565" spans="1:1" x14ac:dyDescent="0.2">
      <c r="A565" s="23" t="str">
        <f t="shared" si="8"/>
        <v/>
      </c>
    </row>
    <row r="566" spans="1:1" x14ac:dyDescent="0.2">
      <c r="A566" s="23" t="str">
        <f t="shared" si="8"/>
        <v/>
      </c>
    </row>
    <row r="567" spans="1:1" x14ac:dyDescent="0.2">
      <c r="A567" s="23" t="str">
        <f t="shared" si="8"/>
        <v/>
      </c>
    </row>
    <row r="568" spans="1:1" x14ac:dyDescent="0.2">
      <c r="A568" s="23" t="str">
        <f t="shared" si="8"/>
        <v/>
      </c>
    </row>
    <row r="569" spans="1:1" x14ac:dyDescent="0.2">
      <c r="A569" s="23" t="str">
        <f t="shared" si="8"/>
        <v/>
      </c>
    </row>
    <row r="570" spans="1:1" x14ac:dyDescent="0.2">
      <c r="A570" s="23" t="str">
        <f t="shared" si="8"/>
        <v/>
      </c>
    </row>
    <row r="571" spans="1:1" x14ac:dyDescent="0.2">
      <c r="A571" s="23" t="str">
        <f t="shared" si="8"/>
        <v/>
      </c>
    </row>
    <row r="572" spans="1:1" x14ac:dyDescent="0.2">
      <c r="A572" s="23" t="str">
        <f t="shared" si="8"/>
        <v/>
      </c>
    </row>
    <row r="573" spans="1:1" x14ac:dyDescent="0.2">
      <c r="A573" s="23" t="str">
        <f t="shared" si="8"/>
        <v/>
      </c>
    </row>
    <row r="574" spans="1:1" x14ac:dyDescent="0.2">
      <c r="A574" s="23" t="str">
        <f t="shared" si="8"/>
        <v/>
      </c>
    </row>
    <row r="575" spans="1:1" x14ac:dyDescent="0.2">
      <c r="A575" s="23" t="str">
        <f t="shared" si="8"/>
        <v/>
      </c>
    </row>
    <row r="576" spans="1:1" x14ac:dyDescent="0.2">
      <c r="A576" s="23" t="str">
        <f t="shared" si="8"/>
        <v/>
      </c>
    </row>
    <row r="577" spans="1:1" x14ac:dyDescent="0.2">
      <c r="A577" s="23" t="str">
        <f t="shared" si="8"/>
        <v/>
      </c>
    </row>
    <row r="578" spans="1:1" x14ac:dyDescent="0.2">
      <c r="A578" s="23" t="str">
        <f t="shared" si="8"/>
        <v/>
      </c>
    </row>
    <row r="579" spans="1:1" x14ac:dyDescent="0.2">
      <c r="A579" s="23" t="str">
        <f t="shared" si="8"/>
        <v/>
      </c>
    </row>
    <row r="580" spans="1:1" x14ac:dyDescent="0.2">
      <c r="A580" s="23" t="str">
        <f t="shared" si="8"/>
        <v/>
      </c>
    </row>
    <row r="581" spans="1:1" x14ac:dyDescent="0.2">
      <c r="A581" s="23" t="str">
        <f t="shared" si="8"/>
        <v/>
      </c>
    </row>
    <row r="582" spans="1:1" x14ac:dyDescent="0.2">
      <c r="A582" s="23" t="str">
        <f t="shared" si="8"/>
        <v/>
      </c>
    </row>
    <row r="583" spans="1:1" x14ac:dyDescent="0.2">
      <c r="A583" s="23" t="str">
        <f t="shared" si="8"/>
        <v/>
      </c>
    </row>
    <row r="584" spans="1:1" x14ac:dyDescent="0.2">
      <c r="A584" s="23" t="str">
        <f t="shared" si="8"/>
        <v/>
      </c>
    </row>
    <row r="585" spans="1:1" x14ac:dyDescent="0.2">
      <c r="A585" s="23" t="str">
        <f t="shared" si="8"/>
        <v/>
      </c>
    </row>
    <row r="586" spans="1:1" x14ac:dyDescent="0.2">
      <c r="A586" s="23" t="str">
        <f t="shared" ref="A586:A649" si="9">IF(LEN(B586)&lt;&gt;0,ROW()-9,"")</f>
        <v/>
      </c>
    </row>
    <row r="587" spans="1:1" x14ac:dyDescent="0.2">
      <c r="A587" s="23" t="str">
        <f t="shared" si="9"/>
        <v/>
      </c>
    </row>
    <row r="588" spans="1:1" x14ac:dyDescent="0.2">
      <c r="A588" s="23" t="str">
        <f t="shared" si="9"/>
        <v/>
      </c>
    </row>
    <row r="589" spans="1:1" x14ac:dyDescent="0.2">
      <c r="A589" s="23" t="str">
        <f t="shared" si="9"/>
        <v/>
      </c>
    </row>
    <row r="590" spans="1:1" x14ac:dyDescent="0.2">
      <c r="A590" s="23" t="str">
        <f t="shared" si="9"/>
        <v/>
      </c>
    </row>
    <row r="591" spans="1:1" x14ac:dyDescent="0.2">
      <c r="A591" s="23" t="str">
        <f t="shared" si="9"/>
        <v/>
      </c>
    </row>
    <row r="592" spans="1:1" x14ac:dyDescent="0.2">
      <c r="A592" s="23" t="str">
        <f t="shared" si="9"/>
        <v/>
      </c>
    </row>
    <row r="593" spans="1:1" x14ac:dyDescent="0.2">
      <c r="A593" s="23" t="str">
        <f t="shared" si="9"/>
        <v/>
      </c>
    </row>
    <row r="594" spans="1:1" x14ac:dyDescent="0.2">
      <c r="A594" s="23" t="str">
        <f t="shared" si="9"/>
        <v/>
      </c>
    </row>
    <row r="595" spans="1:1" x14ac:dyDescent="0.2">
      <c r="A595" s="23" t="str">
        <f t="shared" si="9"/>
        <v/>
      </c>
    </row>
    <row r="596" spans="1:1" x14ac:dyDescent="0.2">
      <c r="A596" s="23" t="str">
        <f t="shared" si="9"/>
        <v/>
      </c>
    </row>
    <row r="597" spans="1:1" x14ac:dyDescent="0.2">
      <c r="A597" s="23" t="str">
        <f t="shared" si="9"/>
        <v/>
      </c>
    </row>
    <row r="598" spans="1:1" x14ac:dyDescent="0.2">
      <c r="A598" s="23" t="str">
        <f t="shared" si="9"/>
        <v/>
      </c>
    </row>
    <row r="599" spans="1:1" x14ac:dyDescent="0.2">
      <c r="A599" s="23" t="str">
        <f t="shared" si="9"/>
        <v/>
      </c>
    </row>
    <row r="600" spans="1:1" x14ac:dyDescent="0.2">
      <c r="A600" s="23" t="str">
        <f t="shared" si="9"/>
        <v/>
      </c>
    </row>
    <row r="601" spans="1:1" x14ac:dyDescent="0.2">
      <c r="A601" s="23" t="str">
        <f t="shared" si="9"/>
        <v/>
      </c>
    </row>
    <row r="602" spans="1:1" x14ac:dyDescent="0.2">
      <c r="A602" s="23" t="str">
        <f t="shared" si="9"/>
        <v/>
      </c>
    </row>
    <row r="603" spans="1:1" x14ac:dyDescent="0.2">
      <c r="A603" s="23" t="str">
        <f t="shared" si="9"/>
        <v/>
      </c>
    </row>
    <row r="604" spans="1:1" x14ac:dyDescent="0.2">
      <c r="A604" s="23" t="str">
        <f t="shared" si="9"/>
        <v/>
      </c>
    </row>
    <row r="605" spans="1:1" x14ac:dyDescent="0.2">
      <c r="A605" s="23" t="str">
        <f t="shared" si="9"/>
        <v/>
      </c>
    </row>
    <row r="606" spans="1:1" x14ac:dyDescent="0.2">
      <c r="A606" s="23" t="str">
        <f t="shared" si="9"/>
        <v/>
      </c>
    </row>
    <row r="607" spans="1:1" x14ac:dyDescent="0.2">
      <c r="A607" s="23" t="str">
        <f t="shared" si="9"/>
        <v/>
      </c>
    </row>
    <row r="608" spans="1:1" x14ac:dyDescent="0.2">
      <c r="A608" s="23" t="str">
        <f t="shared" si="9"/>
        <v/>
      </c>
    </row>
    <row r="609" spans="1:1" x14ac:dyDescent="0.2">
      <c r="A609" s="23" t="str">
        <f t="shared" si="9"/>
        <v/>
      </c>
    </row>
    <row r="610" spans="1:1" x14ac:dyDescent="0.2">
      <c r="A610" s="23" t="str">
        <f t="shared" si="9"/>
        <v/>
      </c>
    </row>
    <row r="611" spans="1:1" x14ac:dyDescent="0.2">
      <c r="A611" s="23" t="str">
        <f t="shared" si="9"/>
        <v/>
      </c>
    </row>
    <row r="612" spans="1:1" x14ac:dyDescent="0.2">
      <c r="A612" s="23" t="str">
        <f t="shared" si="9"/>
        <v/>
      </c>
    </row>
    <row r="613" spans="1:1" x14ac:dyDescent="0.2">
      <c r="A613" s="23" t="str">
        <f t="shared" si="9"/>
        <v/>
      </c>
    </row>
    <row r="614" spans="1:1" x14ac:dyDescent="0.2">
      <c r="A614" s="23" t="str">
        <f t="shared" si="9"/>
        <v/>
      </c>
    </row>
    <row r="615" spans="1:1" x14ac:dyDescent="0.2">
      <c r="A615" s="23" t="str">
        <f t="shared" si="9"/>
        <v/>
      </c>
    </row>
    <row r="616" spans="1:1" x14ac:dyDescent="0.2">
      <c r="A616" s="23" t="str">
        <f t="shared" si="9"/>
        <v/>
      </c>
    </row>
    <row r="617" spans="1:1" x14ac:dyDescent="0.2">
      <c r="A617" s="23" t="str">
        <f t="shared" si="9"/>
        <v/>
      </c>
    </row>
    <row r="618" spans="1:1" x14ac:dyDescent="0.2">
      <c r="A618" s="23" t="str">
        <f t="shared" si="9"/>
        <v/>
      </c>
    </row>
    <row r="619" spans="1:1" x14ac:dyDescent="0.2">
      <c r="A619" s="23" t="str">
        <f t="shared" si="9"/>
        <v/>
      </c>
    </row>
    <row r="620" spans="1:1" x14ac:dyDescent="0.2">
      <c r="A620" s="23" t="str">
        <f t="shared" si="9"/>
        <v/>
      </c>
    </row>
    <row r="621" spans="1:1" x14ac:dyDescent="0.2">
      <c r="A621" s="23" t="str">
        <f t="shared" si="9"/>
        <v/>
      </c>
    </row>
    <row r="622" spans="1:1" x14ac:dyDescent="0.2">
      <c r="A622" s="23" t="str">
        <f t="shared" si="9"/>
        <v/>
      </c>
    </row>
    <row r="623" spans="1:1" x14ac:dyDescent="0.2">
      <c r="A623" s="23" t="str">
        <f t="shared" si="9"/>
        <v/>
      </c>
    </row>
    <row r="624" spans="1:1" x14ac:dyDescent="0.2">
      <c r="A624" s="23" t="str">
        <f t="shared" si="9"/>
        <v/>
      </c>
    </row>
    <row r="625" spans="1:1" x14ac:dyDescent="0.2">
      <c r="A625" s="23" t="str">
        <f t="shared" si="9"/>
        <v/>
      </c>
    </row>
    <row r="626" spans="1:1" x14ac:dyDescent="0.2">
      <c r="A626" s="23" t="str">
        <f t="shared" si="9"/>
        <v/>
      </c>
    </row>
    <row r="627" spans="1:1" x14ac:dyDescent="0.2">
      <c r="A627" s="23" t="str">
        <f t="shared" si="9"/>
        <v/>
      </c>
    </row>
    <row r="628" spans="1:1" x14ac:dyDescent="0.2">
      <c r="A628" s="23" t="str">
        <f t="shared" si="9"/>
        <v/>
      </c>
    </row>
    <row r="629" spans="1:1" x14ac:dyDescent="0.2">
      <c r="A629" s="23" t="str">
        <f t="shared" si="9"/>
        <v/>
      </c>
    </row>
    <row r="630" spans="1:1" x14ac:dyDescent="0.2">
      <c r="A630" s="23" t="str">
        <f t="shared" si="9"/>
        <v/>
      </c>
    </row>
    <row r="631" spans="1:1" x14ac:dyDescent="0.2">
      <c r="A631" s="23" t="str">
        <f t="shared" si="9"/>
        <v/>
      </c>
    </row>
    <row r="632" spans="1:1" x14ac:dyDescent="0.2">
      <c r="A632" s="23" t="str">
        <f t="shared" si="9"/>
        <v/>
      </c>
    </row>
    <row r="633" spans="1:1" x14ac:dyDescent="0.2">
      <c r="A633" s="23" t="str">
        <f t="shared" si="9"/>
        <v/>
      </c>
    </row>
    <row r="634" spans="1:1" x14ac:dyDescent="0.2">
      <c r="A634" s="23" t="str">
        <f t="shared" si="9"/>
        <v/>
      </c>
    </row>
    <row r="635" spans="1:1" x14ac:dyDescent="0.2">
      <c r="A635" s="23" t="str">
        <f t="shared" si="9"/>
        <v/>
      </c>
    </row>
    <row r="636" spans="1:1" x14ac:dyDescent="0.2">
      <c r="A636" s="23" t="str">
        <f t="shared" si="9"/>
        <v/>
      </c>
    </row>
    <row r="637" spans="1:1" x14ac:dyDescent="0.2">
      <c r="A637" s="23" t="str">
        <f t="shared" si="9"/>
        <v/>
      </c>
    </row>
    <row r="638" spans="1:1" x14ac:dyDescent="0.2">
      <c r="A638" s="23" t="str">
        <f t="shared" si="9"/>
        <v/>
      </c>
    </row>
    <row r="639" spans="1:1" x14ac:dyDescent="0.2">
      <c r="A639" s="23" t="str">
        <f t="shared" si="9"/>
        <v/>
      </c>
    </row>
    <row r="640" spans="1:1" x14ac:dyDescent="0.2">
      <c r="A640" s="23" t="str">
        <f t="shared" si="9"/>
        <v/>
      </c>
    </row>
    <row r="641" spans="1:1" x14ac:dyDescent="0.2">
      <c r="A641" s="23" t="str">
        <f t="shared" si="9"/>
        <v/>
      </c>
    </row>
    <row r="642" spans="1:1" x14ac:dyDescent="0.2">
      <c r="A642" s="23" t="str">
        <f t="shared" si="9"/>
        <v/>
      </c>
    </row>
    <row r="643" spans="1:1" x14ac:dyDescent="0.2">
      <c r="A643" s="23" t="str">
        <f t="shared" si="9"/>
        <v/>
      </c>
    </row>
    <row r="644" spans="1:1" x14ac:dyDescent="0.2">
      <c r="A644" s="23" t="str">
        <f t="shared" si="9"/>
        <v/>
      </c>
    </row>
    <row r="645" spans="1:1" x14ac:dyDescent="0.2">
      <c r="A645" s="23" t="str">
        <f t="shared" si="9"/>
        <v/>
      </c>
    </row>
    <row r="646" spans="1:1" x14ac:dyDescent="0.2">
      <c r="A646" s="23" t="str">
        <f t="shared" si="9"/>
        <v/>
      </c>
    </row>
    <row r="647" spans="1:1" x14ac:dyDescent="0.2">
      <c r="A647" s="23" t="str">
        <f t="shared" si="9"/>
        <v/>
      </c>
    </row>
    <row r="648" spans="1:1" x14ac:dyDescent="0.2">
      <c r="A648" s="23" t="str">
        <f t="shared" si="9"/>
        <v/>
      </c>
    </row>
    <row r="649" spans="1:1" x14ac:dyDescent="0.2">
      <c r="A649" s="23" t="str">
        <f t="shared" si="9"/>
        <v/>
      </c>
    </row>
    <row r="650" spans="1:1" x14ac:dyDescent="0.2">
      <c r="A650" s="23" t="str">
        <f t="shared" ref="A650:A713" si="10">IF(LEN(B650)&lt;&gt;0,ROW()-9,"")</f>
        <v/>
      </c>
    </row>
    <row r="651" spans="1:1" x14ac:dyDescent="0.2">
      <c r="A651" s="23" t="str">
        <f t="shared" si="10"/>
        <v/>
      </c>
    </row>
    <row r="652" spans="1:1" x14ac:dyDescent="0.2">
      <c r="A652" s="23" t="str">
        <f t="shared" si="10"/>
        <v/>
      </c>
    </row>
    <row r="653" spans="1:1" x14ac:dyDescent="0.2">
      <c r="A653" s="23" t="str">
        <f t="shared" si="10"/>
        <v/>
      </c>
    </row>
    <row r="654" spans="1:1" x14ac:dyDescent="0.2">
      <c r="A654" s="23" t="str">
        <f t="shared" si="10"/>
        <v/>
      </c>
    </row>
    <row r="655" spans="1:1" x14ac:dyDescent="0.2">
      <c r="A655" s="23" t="str">
        <f t="shared" si="10"/>
        <v/>
      </c>
    </row>
    <row r="656" spans="1:1" x14ac:dyDescent="0.2">
      <c r="A656" s="23" t="str">
        <f t="shared" si="10"/>
        <v/>
      </c>
    </row>
    <row r="657" spans="1:1" x14ac:dyDescent="0.2">
      <c r="A657" s="23" t="str">
        <f t="shared" si="10"/>
        <v/>
      </c>
    </row>
    <row r="658" spans="1:1" x14ac:dyDescent="0.2">
      <c r="A658" s="23" t="str">
        <f t="shared" si="10"/>
        <v/>
      </c>
    </row>
    <row r="659" spans="1:1" x14ac:dyDescent="0.2">
      <c r="A659" s="23" t="str">
        <f t="shared" si="10"/>
        <v/>
      </c>
    </row>
    <row r="660" spans="1:1" x14ac:dyDescent="0.2">
      <c r="A660" s="23" t="str">
        <f t="shared" si="10"/>
        <v/>
      </c>
    </row>
    <row r="661" spans="1:1" x14ac:dyDescent="0.2">
      <c r="A661" s="23" t="str">
        <f t="shared" si="10"/>
        <v/>
      </c>
    </row>
    <row r="662" spans="1:1" x14ac:dyDescent="0.2">
      <c r="A662" s="23" t="str">
        <f t="shared" si="10"/>
        <v/>
      </c>
    </row>
    <row r="663" spans="1:1" x14ac:dyDescent="0.2">
      <c r="A663" s="23" t="str">
        <f t="shared" si="10"/>
        <v/>
      </c>
    </row>
    <row r="664" spans="1:1" x14ac:dyDescent="0.2">
      <c r="A664" s="23" t="str">
        <f t="shared" si="10"/>
        <v/>
      </c>
    </row>
    <row r="665" spans="1:1" x14ac:dyDescent="0.2">
      <c r="A665" s="23" t="str">
        <f t="shared" si="10"/>
        <v/>
      </c>
    </row>
    <row r="666" spans="1:1" x14ac:dyDescent="0.2">
      <c r="A666" s="23" t="str">
        <f t="shared" si="10"/>
        <v/>
      </c>
    </row>
    <row r="667" spans="1:1" x14ac:dyDescent="0.2">
      <c r="A667" s="23" t="str">
        <f t="shared" si="10"/>
        <v/>
      </c>
    </row>
    <row r="668" spans="1:1" x14ac:dyDescent="0.2">
      <c r="A668" s="23" t="str">
        <f t="shared" si="10"/>
        <v/>
      </c>
    </row>
    <row r="669" spans="1:1" x14ac:dyDescent="0.2">
      <c r="A669" s="23" t="str">
        <f t="shared" si="10"/>
        <v/>
      </c>
    </row>
    <row r="670" spans="1:1" x14ac:dyDescent="0.2">
      <c r="A670" s="23" t="str">
        <f t="shared" si="10"/>
        <v/>
      </c>
    </row>
    <row r="671" spans="1:1" x14ac:dyDescent="0.2">
      <c r="A671" s="23" t="str">
        <f t="shared" si="10"/>
        <v/>
      </c>
    </row>
    <row r="672" spans="1:1" x14ac:dyDescent="0.2">
      <c r="A672" s="23" t="str">
        <f t="shared" si="10"/>
        <v/>
      </c>
    </row>
    <row r="673" spans="1:1" x14ac:dyDescent="0.2">
      <c r="A673" s="23" t="str">
        <f t="shared" si="10"/>
        <v/>
      </c>
    </row>
    <row r="674" spans="1:1" x14ac:dyDescent="0.2">
      <c r="A674" s="23" t="str">
        <f t="shared" si="10"/>
        <v/>
      </c>
    </row>
    <row r="675" spans="1:1" x14ac:dyDescent="0.2">
      <c r="A675" s="23" t="str">
        <f t="shared" si="10"/>
        <v/>
      </c>
    </row>
    <row r="676" spans="1:1" x14ac:dyDescent="0.2">
      <c r="A676" s="23" t="str">
        <f t="shared" si="10"/>
        <v/>
      </c>
    </row>
    <row r="677" spans="1:1" x14ac:dyDescent="0.2">
      <c r="A677" s="23" t="str">
        <f t="shared" si="10"/>
        <v/>
      </c>
    </row>
    <row r="678" spans="1:1" x14ac:dyDescent="0.2">
      <c r="A678" s="23" t="str">
        <f t="shared" si="10"/>
        <v/>
      </c>
    </row>
    <row r="679" spans="1:1" x14ac:dyDescent="0.2">
      <c r="A679" s="23" t="str">
        <f t="shared" si="10"/>
        <v/>
      </c>
    </row>
    <row r="680" spans="1:1" x14ac:dyDescent="0.2">
      <c r="A680" s="23" t="str">
        <f t="shared" si="10"/>
        <v/>
      </c>
    </row>
    <row r="681" spans="1:1" x14ac:dyDescent="0.2">
      <c r="A681" s="23" t="str">
        <f t="shared" si="10"/>
        <v/>
      </c>
    </row>
    <row r="682" spans="1:1" x14ac:dyDescent="0.2">
      <c r="A682" s="23" t="str">
        <f t="shared" si="10"/>
        <v/>
      </c>
    </row>
    <row r="683" spans="1:1" x14ac:dyDescent="0.2">
      <c r="A683" s="23" t="str">
        <f t="shared" si="10"/>
        <v/>
      </c>
    </row>
    <row r="684" spans="1:1" x14ac:dyDescent="0.2">
      <c r="A684" s="23" t="str">
        <f t="shared" si="10"/>
        <v/>
      </c>
    </row>
    <row r="685" spans="1:1" x14ac:dyDescent="0.2">
      <c r="A685" s="23" t="str">
        <f t="shared" si="10"/>
        <v/>
      </c>
    </row>
    <row r="686" spans="1:1" x14ac:dyDescent="0.2">
      <c r="A686" s="23" t="str">
        <f t="shared" si="10"/>
        <v/>
      </c>
    </row>
    <row r="687" spans="1:1" x14ac:dyDescent="0.2">
      <c r="A687" s="23" t="str">
        <f t="shared" si="10"/>
        <v/>
      </c>
    </row>
    <row r="688" spans="1:1" x14ac:dyDescent="0.2">
      <c r="A688" s="23" t="str">
        <f t="shared" si="10"/>
        <v/>
      </c>
    </row>
    <row r="689" spans="1:1" x14ac:dyDescent="0.2">
      <c r="A689" s="23" t="str">
        <f t="shared" si="10"/>
        <v/>
      </c>
    </row>
    <row r="690" spans="1:1" x14ac:dyDescent="0.2">
      <c r="A690" s="23" t="str">
        <f t="shared" si="10"/>
        <v/>
      </c>
    </row>
    <row r="691" spans="1:1" x14ac:dyDescent="0.2">
      <c r="A691" s="23" t="str">
        <f t="shared" si="10"/>
        <v/>
      </c>
    </row>
    <row r="692" spans="1:1" x14ac:dyDescent="0.2">
      <c r="A692" s="23" t="str">
        <f t="shared" si="10"/>
        <v/>
      </c>
    </row>
    <row r="693" spans="1:1" x14ac:dyDescent="0.2">
      <c r="A693" s="23" t="str">
        <f t="shared" si="10"/>
        <v/>
      </c>
    </row>
    <row r="694" spans="1:1" x14ac:dyDescent="0.2">
      <c r="A694" s="23" t="str">
        <f t="shared" si="10"/>
        <v/>
      </c>
    </row>
    <row r="695" spans="1:1" x14ac:dyDescent="0.2">
      <c r="A695" s="23" t="str">
        <f t="shared" si="10"/>
        <v/>
      </c>
    </row>
    <row r="696" spans="1:1" x14ac:dyDescent="0.2">
      <c r="A696" s="23" t="str">
        <f t="shared" si="10"/>
        <v/>
      </c>
    </row>
    <row r="697" spans="1:1" x14ac:dyDescent="0.2">
      <c r="A697" s="23" t="str">
        <f t="shared" si="10"/>
        <v/>
      </c>
    </row>
    <row r="698" spans="1:1" x14ac:dyDescent="0.2">
      <c r="A698" s="23" t="str">
        <f t="shared" si="10"/>
        <v/>
      </c>
    </row>
    <row r="699" spans="1:1" x14ac:dyDescent="0.2">
      <c r="A699" s="23" t="str">
        <f t="shared" si="10"/>
        <v/>
      </c>
    </row>
    <row r="700" spans="1:1" x14ac:dyDescent="0.2">
      <c r="A700" s="23" t="str">
        <f t="shared" si="10"/>
        <v/>
      </c>
    </row>
    <row r="701" spans="1:1" x14ac:dyDescent="0.2">
      <c r="A701" s="23" t="str">
        <f t="shared" si="10"/>
        <v/>
      </c>
    </row>
    <row r="702" spans="1:1" x14ac:dyDescent="0.2">
      <c r="A702" s="23" t="str">
        <f t="shared" si="10"/>
        <v/>
      </c>
    </row>
    <row r="703" spans="1:1" x14ac:dyDescent="0.2">
      <c r="A703" s="23" t="str">
        <f t="shared" si="10"/>
        <v/>
      </c>
    </row>
    <row r="704" spans="1:1" x14ac:dyDescent="0.2">
      <c r="A704" s="23" t="str">
        <f t="shared" si="10"/>
        <v/>
      </c>
    </row>
    <row r="705" spans="1:1" x14ac:dyDescent="0.2">
      <c r="A705" s="23" t="str">
        <f t="shared" si="10"/>
        <v/>
      </c>
    </row>
    <row r="706" spans="1:1" x14ac:dyDescent="0.2">
      <c r="A706" s="23" t="str">
        <f t="shared" si="10"/>
        <v/>
      </c>
    </row>
    <row r="707" spans="1:1" x14ac:dyDescent="0.2">
      <c r="A707" s="23" t="str">
        <f t="shared" si="10"/>
        <v/>
      </c>
    </row>
    <row r="708" spans="1:1" x14ac:dyDescent="0.2">
      <c r="A708" s="23" t="str">
        <f t="shared" si="10"/>
        <v/>
      </c>
    </row>
    <row r="709" spans="1:1" x14ac:dyDescent="0.2">
      <c r="A709" s="23" t="str">
        <f t="shared" si="10"/>
        <v/>
      </c>
    </row>
    <row r="710" spans="1:1" x14ac:dyDescent="0.2">
      <c r="A710" s="23" t="str">
        <f t="shared" si="10"/>
        <v/>
      </c>
    </row>
    <row r="711" spans="1:1" x14ac:dyDescent="0.2">
      <c r="A711" s="23" t="str">
        <f t="shared" si="10"/>
        <v/>
      </c>
    </row>
    <row r="712" spans="1:1" x14ac:dyDescent="0.2">
      <c r="A712" s="23" t="str">
        <f t="shared" si="10"/>
        <v/>
      </c>
    </row>
    <row r="713" spans="1:1" x14ac:dyDescent="0.2">
      <c r="A713" s="23" t="str">
        <f t="shared" si="10"/>
        <v/>
      </c>
    </row>
    <row r="714" spans="1:1" x14ac:dyDescent="0.2">
      <c r="A714" s="23" t="str">
        <f t="shared" ref="A714:A777" si="11">IF(LEN(B714)&lt;&gt;0,ROW()-9,"")</f>
        <v/>
      </c>
    </row>
    <row r="715" spans="1:1" x14ac:dyDescent="0.2">
      <c r="A715" s="23" t="str">
        <f t="shared" si="11"/>
        <v/>
      </c>
    </row>
    <row r="716" spans="1:1" x14ac:dyDescent="0.2">
      <c r="A716" s="23" t="str">
        <f t="shared" si="11"/>
        <v/>
      </c>
    </row>
    <row r="717" spans="1:1" x14ac:dyDescent="0.2">
      <c r="A717" s="23" t="str">
        <f t="shared" si="11"/>
        <v/>
      </c>
    </row>
    <row r="718" spans="1:1" x14ac:dyDescent="0.2">
      <c r="A718" s="23" t="str">
        <f t="shared" si="11"/>
        <v/>
      </c>
    </row>
    <row r="719" spans="1:1" x14ac:dyDescent="0.2">
      <c r="A719" s="23" t="str">
        <f t="shared" si="11"/>
        <v/>
      </c>
    </row>
    <row r="720" spans="1:1" x14ac:dyDescent="0.2">
      <c r="A720" s="23" t="str">
        <f t="shared" si="11"/>
        <v/>
      </c>
    </row>
    <row r="721" spans="1:1" x14ac:dyDescent="0.2">
      <c r="A721" s="23" t="str">
        <f t="shared" si="11"/>
        <v/>
      </c>
    </row>
    <row r="722" spans="1:1" x14ac:dyDescent="0.2">
      <c r="A722" s="23" t="str">
        <f t="shared" si="11"/>
        <v/>
      </c>
    </row>
    <row r="723" spans="1:1" x14ac:dyDescent="0.2">
      <c r="A723" s="23" t="str">
        <f t="shared" si="11"/>
        <v/>
      </c>
    </row>
    <row r="724" spans="1:1" x14ac:dyDescent="0.2">
      <c r="A724" s="23" t="str">
        <f t="shared" si="11"/>
        <v/>
      </c>
    </row>
    <row r="725" spans="1:1" x14ac:dyDescent="0.2">
      <c r="A725" s="23" t="str">
        <f t="shared" si="11"/>
        <v/>
      </c>
    </row>
    <row r="726" spans="1:1" x14ac:dyDescent="0.2">
      <c r="A726" s="23" t="str">
        <f t="shared" si="11"/>
        <v/>
      </c>
    </row>
    <row r="727" spans="1:1" x14ac:dyDescent="0.2">
      <c r="A727" s="23" t="str">
        <f t="shared" si="11"/>
        <v/>
      </c>
    </row>
    <row r="728" spans="1:1" x14ac:dyDescent="0.2">
      <c r="A728" s="23" t="str">
        <f t="shared" si="11"/>
        <v/>
      </c>
    </row>
    <row r="729" spans="1:1" x14ac:dyDescent="0.2">
      <c r="A729" s="23" t="str">
        <f t="shared" si="11"/>
        <v/>
      </c>
    </row>
    <row r="730" spans="1:1" x14ac:dyDescent="0.2">
      <c r="A730" s="23" t="str">
        <f t="shared" si="11"/>
        <v/>
      </c>
    </row>
    <row r="731" spans="1:1" x14ac:dyDescent="0.2">
      <c r="A731" s="23" t="str">
        <f t="shared" si="11"/>
        <v/>
      </c>
    </row>
    <row r="732" spans="1:1" x14ac:dyDescent="0.2">
      <c r="A732" s="23" t="str">
        <f t="shared" si="11"/>
        <v/>
      </c>
    </row>
    <row r="733" spans="1:1" x14ac:dyDescent="0.2">
      <c r="A733" s="23" t="str">
        <f t="shared" si="11"/>
        <v/>
      </c>
    </row>
    <row r="734" spans="1:1" x14ac:dyDescent="0.2">
      <c r="A734" s="23" t="str">
        <f t="shared" si="11"/>
        <v/>
      </c>
    </row>
    <row r="735" spans="1:1" x14ac:dyDescent="0.2">
      <c r="A735" s="23" t="str">
        <f t="shared" si="11"/>
        <v/>
      </c>
    </row>
    <row r="736" spans="1:1" x14ac:dyDescent="0.2">
      <c r="A736" s="23" t="str">
        <f t="shared" si="11"/>
        <v/>
      </c>
    </row>
    <row r="737" spans="1:1" x14ac:dyDescent="0.2">
      <c r="A737" s="23" t="str">
        <f t="shared" si="11"/>
        <v/>
      </c>
    </row>
    <row r="738" spans="1:1" x14ac:dyDescent="0.2">
      <c r="A738" s="23" t="str">
        <f t="shared" si="11"/>
        <v/>
      </c>
    </row>
    <row r="739" spans="1:1" x14ac:dyDescent="0.2">
      <c r="A739" s="23" t="str">
        <f t="shared" si="11"/>
        <v/>
      </c>
    </row>
    <row r="740" spans="1:1" x14ac:dyDescent="0.2">
      <c r="A740" s="23" t="str">
        <f t="shared" si="11"/>
        <v/>
      </c>
    </row>
    <row r="741" spans="1:1" x14ac:dyDescent="0.2">
      <c r="A741" s="23" t="str">
        <f t="shared" si="11"/>
        <v/>
      </c>
    </row>
    <row r="742" spans="1:1" x14ac:dyDescent="0.2">
      <c r="A742" s="23" t="str">
        <f t="shared" si="11"/>
        <v/>
      </c>
    </row>
    <row r="743" spans="1:1" x14ac:dyDescent="0.2">
      <c r="A743" s="23" t="str">
        <f t="shared" si="11"/>
        <v/>
      </c>
    </row>
    <row r="744" spans="1:1" x14ac:dyDescent="0.2">
      <c r="A744" s="23" t="str">
        <f t="shared" si="11"/>
        <v/>
      </c>
    </row>
    <row r="745" spans="1:1" x14ac:dyDescent="0.2">
      <c r="A745" s="23" t="str">
        <f t="shared" si="11"/>
        <v/>
      </c>
    </row>
    <row r="746" spans="1:1" x14ac:dyDescent="0.2">
      <c r="A746" s="23" t="str">
        <f t="shared" si="11"/>
        <v/>
      </c>
    </row>
    <row r="747" spans="1:1" x14ac:dyDescent="0.2">
      <c r="A747" s="23" t="str">
        <f t="shared" si="11"/>
        <v/>
      </c>
    </row>
    <row r="748" spans="1:1" x14ac:dyDescent="0.2">
      <c r="A748" s="23" t="str">
        <f t="shared" si="11"/>
        <v/>
      </c>
    </row>
    <row r="749" spans="1:1" x14ac:dyDescent="0.2">
      <c r="A749" s="23" t="str">
        <f t="shared" si="11"/>
        <v/>
      </c>
    </row>
    <row r="750" spans="1:1" x14ac:dyDescent="0.2">
      <c r="A750" s="23" t="str">
        <f t="shared" si="11"/>
        <v/>
      </c>
    </row>
    <row r="751" spans="1:1" x14ac:dyDescent="0.2">
      <c r="A751" s="23" t="str">
        <f t="shared" si="11"/>
        <v/>
      </c>
    </row>
    <row r="752" spans="1:1" x14ac:dyDescent="0.2">
      <c r="A752" s="23" t="str">
        <f t="shared" si="11"/>
        <v/>
      </c>
    </row>
    <row r="753" spans="1:1" x14ac:dyDescent="0.2">
      <c r="A753" s="23" t="str">
        <f t="shared" si="11"/>
        <v/>
      </c>
    </row>
    <row r="754" spans="1:1" x14ac:dyDescent="0.2">
      <c r="A754" s="23" t="str">
        <f t="shared" si="11"/>
        <v/>
      </c>
    </row>
    <row r="755" spans="1:1" x14ac:dyDescent="0.2">
      <c r="A755" s="23" t="str">
        <f t="shared" si="11"/>
        <v/>
      </c>
    </row>
    <row r="756" spans="1:1" x14ac:dyDescent="0.2">
      <c r="A756" s="23" t="str">
        <f t="shared" si="11"/>
        <v/>
      </c>
    </row>
    <row r="757" spans="1:1" x14ac:dyDescent="0.2">
      <c r="A757" s="23" t="str">
        <f t="shared" si="11"/>
        <v/>
      </c>
    </row>
    <row r="758" spans="1:1" x14ac:dyDescent="0.2">
      <c r="A758" s="23" t="str">
        <f t="shared" si="11"/>
        <v/>
      </c>
    </row>
    <row r="759" spans="1:1" x14ac:dyDescent="0.2">
      <c r="A759" s="23" t="str">
        <f t="shared" si="11"/>
        <v/>
      </c>
    </row>
    <row r="760" spans="1:1" x14ac:dyDescent="0.2">
      <c r="A760" s="23" t="str">
        <f t="shared" si="11"/>
        <v/>
      </c>
    </row>
    <row r="761" spans="1:1" x14ac:dyDescent="0.2">
      <c r="A761" s="23" t="str">
        <f t="shared" si="11"/>
        <v/>
      </c>
    </row>
    <row r="762" spans="1:1" x14ac:dyDescent="0.2">
      <c r="A762" s="23" t="str">
        <f t="shared" si="11"/>
        <v/>
      </c>
    </row>
    <row r="763" spans="1:1" x14ac:dyDescent="0.2">
      <c r="A763" s="23" t="str">
        <f t="shared" si="11"/>
        <v/>
      </c>
    </row>
    <row r="764" spans="1:1" x14ac:dyDescent="0.2">
      <c r="A764" s="23" t="str">
        <f t="shared" si="11"/>
        <v/>
      </c>
    </row>
    <row r="765" spans="1:1" x14ac:dyDescent="0.2">
      <c r="A765" s="23" t="str">
        <f t="shared" si="11"/>
        <v/>
      </c>
    </row>
    <row r="766" spans="1:1" x14ac:dyDescent="0.2">
      <c r="A766" s="23" t="str">
        <f t="shared" si="11"/>
        <v/>
      </c>
    </row>
    <row r="767" spans="1:1" x14ac:dyDescent="0.2">
      <c r="A767" s="23" t="str">
        <f t="shared" si="11"/>
        <v/>
      </c>
    </row>
    <row r="768" spans="1:1" x14ac:dyDescent="0.2">
      <c r="A768" s="23" t="str">
        <f t="shared" si="11"/>
        <v/>
      </c>
    </row>
    <row r="769" spans="1:1" x14ac:dyDescent="0.2">
      <c r="A769" s="23" t="str">
        <f t="shared" si="11"/>
        <v/>
      </c>
    </row>
    <row r="770" spans="1:1" x14ac:dyDescent="0.2">
      <c r="A770" s="23" t="str">
        <f t="shared" si="11"/>
        <v/>
      </c>
    </row>
    <row r="771" spans="1:1" x14ac:dyDescent="0.2">
      <c r="A771" s="23" t="str">
        <f t="shared" si="11"/>
        <v/>
      </c>
    </row>
    <row r="772" spans="1:1" x14ac:dyDescent="0.2">
      <c r="A772" s="23" t="str">
        <f t="shared" si="11"/>
        <v/>
      </c>
    </row>
    <row r="773" spans="1:1" x14ac:dyDescent="0.2">
      <c r="A773" s="23" t="str">
        <f t="shared" si="11"/>
        <v/>
      </c>
    </row>
    <row r="774" spans="1:1" x14ac:dyDescent="0.2">
      <c r="A774" s="23" t="str">
        <f t="shared" si="11"/>
        <v/>
      </c>
    </row>
    <row r="775" spans="1:1" x14ac:dyDescent="0.2">
      <c r="A775" s="23" t="str">
        <f t="shared" si="11"/>
        <v/>
      </c>
    </row>
    <row r="776" spans="1:1" x14ac:dyDescent="0.2">
      <c r="A776" s="23" t="str">
        <f t="shared" si="11"/>
        <v/>
      </c>
    </row>
    <row r="777" spans="1:1" x14ac:dyDescent="0.2">
      <c r="A777" s="23" t="str">
        <f t="shared" si="11"/>
        <v/>
      </c>
    </row>
    <row r="778" spans="1:1" x14ac:dyDescent="0.2">
      <c r="A778" s="23" t="str">
        <f t="shared" ref="A778:A841" si="12">IF(LEN(B778)&lt;&gt;0,ROW()-9,"")</f>
        <v/>
      </c>
    </row>
    <row r="779" spans="1:1" x14ac:dyDescent="0.2">
      <c r="A779" s="23" t="str">
        <f t="shared" si="12"/>
        <v/>
      </c>
    </row>
    <row r="780" spans="1:1" x14ac:dyDescent="0.2">
      <c r="A780" s="23" t="str">
        <f t="shared" si="12"/>
        <v/>
      </c>
    </row>
    <row r="781" spans="1:1" x14ac:dyDescent="0.2">
      <c r="A781" s="23" t="str">
        <f t="shared" si="12"/>
        <v/>
      </c>
    </row>
    <row r="782" spans="1:1" x14ac:dyDescent="0.2">
      <c r="A782" s="23" t="str">
        <f t="shared" si="12"/>
        <v/>
      </c>
    </row>
    <row r="783" spans="1:1" x14ac:dyDescent="0.2">
      <c r="A783" s="23" t="str">
        <f t="shared" si="12"/>
        <v/>
      </c>
    </row>
    <row r="784" spans="1:1" x14ac:dyDescent="0.2">
      <c r="A784" s="23" t="str">
        <f t="shared" si="12"/>
        <v/>
      </c>
    </row>
    <row r="785" spans="1:1" x14ac:dyDescent="0.2">
      <c r="A785" s="23" t="str">
        <f t="shared" si="12"/>
        <v/>
      </c>
    </row>
    <row r="786" spans="1:1" x14ac:dyDescent="0.2">
      <c r="A786" s="23" t="str">
        <f t="shared" si="12"/>
        <v/>
      </c>
    </row>
    <row r="787" spans="1:1" x14ac:dyDescent="0.2">
      <c r="A787" s="23" t="str">
        <f t="shared" si="12"/>
        <v/>
      </c>
    </row>
    <row r="788" spans="1:1" x14ac:dyDescent="0.2">
      <c r="A788" s="23" t="str">
        <f t="shared" si="12"/>
        <v/>
      </c>
    </row>
    <row r="789" spans="1:1" x14ac:dyDescent="0.2">
      <c r="A789" s="23" t="str">
        <f t="shared" si="12"/>
        <v/>
      </c>
    </row>
    <row r="790" spans="1:1" x14ac:dyDescent="0.2">
      <c r="A790" s="23" t="str">
        <f t="shared" si="12"/>
        <v/>
      </c>
    </row>
    <row r="791" spans="1:1" x14ac:dyDescent="0.2">
      <c r="A791" s="23" t="str">
        <f t="shared" si="12"/>
        <v/>
      </c>
    </row>
    <row r="792" spans="1:1" x14ac:dyDescent="0.2">
      <c r="A792" s="23" t="str">
        <f t="shared" si="12"/>
        <v/>
      </c>
    </row>
    <row r="793" spans="1:1" x14ac:dyDescent="0.2">
      <c r="A793" s="23" t="str">
        <f t="shared" si="12"/>
        <v/>
      </c>
    </row>
    <row r="794" spans="1:1" x14ac:dyDescent="0.2">
      <c r="A794" s="23" t="str">
        <f t="shared" si="12"/>
        <v/>
      </c>
    </row>
    <row r="795" spans="1:1" x14ac:dyDescent="0.2">
      <c r="A795" s="23" t="str">
        <f t="shared" si="12"/>
        <v/>
      </c>
    </row>
    <row r="796" spans="1:1" x14ac:dyDescent="0.2">
      <c r="A796" s="23" t="str">
        <f t="shared" si="12"/>
        <v/>
      </c>
    </row>
    <row r="797" spans="1:1" x14ac:dyDescent="0.2">
      <c r="A797" s="23" t="str">
        <f t="shared" si="12"/>
        <v/>
      </c>
    </row>
    <row r="798" spans="1:1" x14ac:dyDescent="0.2">
      <c r="A798" s="23" t="str">
        <f t="shared" si="12"/>
        <v/>
      </c>
    </row>
    <row r="799" spans="1:1" x14ac:dyDescent="0.2">
      <c r="A799" s="23" t="str">
        <f t="shared" si="12"/>
        <v/>
      </c>
    </row>
    <row r="800" spans="1:1" x14ac:dyDescent="0.2">
      <c r="A800" s="23" t="str">
        <f t="shared" si="12"/>
        <v/>
      </c>
    </row>
    <row r="801" spans="1:1" x14ac:dyDescent="0.2">
      <c r="A801" s="23" t="str">
        <f t="shared" si="12"/>
        <v/>
      </c>
    </row>
    <row r="802" spans="1:1" x14ac:dyDescent="0.2">
      <c r="A802" s="23" t="str">
        <f t="shared" si="12"/>
        <v/>
      </c>
    </row>
    <row r="803" spans="1:1" x14ac:dyDescent="0.2">
      <c r="A803" s="23" t="str">
        <f t="shared" si="12"/>
        <v/>
      </c>
    </row>
    <row r="804" spans="1:1" x14ac:dyDescent="0.2">
      <c r="A804" s="23" t="str">
        <f t="shared" si="12"/>
        <v/>
      </c>
    </row>
    <row r="805" spans="1:1" x14ac:dyDescent="0.2">
      <c r="A805" s="23" t="str">
        <f t="shared" si="12"/>
        <v/>
      </c>
    </row>
    <row r="806" spans="1:1" x14ac:dyDescent="0.2">
      <c r="A806" s="23" t="str">
        <f t="shared" si="12"/>
        <v/>
      </c>
    </row>
    <row r="807" spans="1:1" x14ac:dyDescent="0.2">
      <c r="A807" s="23" t="str">
        <f t="shared" si="12"/>
        <v/>
      </c>
    </row>
    <row r="808" spans="1:1" x14ac:dyDescent="0.2">
      <c r="A808" s="23" t="str">
        <f t="shared" si="12"/>
        <v/>
      </c>
    </row>
    <row r="809" spans="1:1" x14ac:dyDescent="0.2">
      <c r="A809" s="23" t="str">
        <f t="shared" si="12"/>
        <v/>
      </c>
    </row>
    <row r="810" spans="1:1" x14ac:dyDescent="0.2">
      <c r="A810" s="23" t="str">
        <f t="shared" si="12"/>
        <v/>
      </c>
    </row>
    <row r="811" spans="1:1" x14ac:dyDescent="0.2">
      <c r="A811" s="23" t="str">
        <f t="shared" si="12"/>
        <v/>
      </c>
    </row>
    <row r="812" spans="1:1" x14ac:dyDescent="0.2">
      <c r="A812" s="23" t="str">
        <f t="shared" si="12"/>
        <v/>
      </c>
    </row>
    <row r="813" spans="1:1" x14ac:dyDescent="0.2">
      <c r="A813" s="23" t="str">
        <f t="shared" si="12"/>
        <v/>
      </c>
    </row>
    <row r="814" spans="1:1" x14ac:dyDescent="0.2">
      <c r="A814" s="23" t="str">
        <f t="shared" si="12"/>
        <v/>
      </c>
    </row>
    <row r="815" spans="1:1" x14ac:dyDescent="0.2">
      <c r="A815" s="23" t="str">
        <f t="shared" si="12"/>
        <v/>
      </c>
    </row>
    <row r="816" spans="1:1" x14ac:dyDescent="0.2">
      <c r="A816" s="23" t="str">
        <f t="shared" si="12"/>
        <v/>
      </c>
    </row>
    <row r="817" spans="1:1" x14ac:dyDescent="0.2">
      <c r="A817" s="23" t="str">
        <f t="shared" si="12"/>
        <v/>
      </c>
    </row>
    <row r="818" spans="1:1" x14ac:dyDescent="0.2">
      <c r="A818" s="23" t="str">
        <f t="shared" si="12"/>
        <v/>
      </c>
    </row>
    <row r="819" spans="1:1" x14ac:dyDescent="0.2">
      <c r="A819" s="23" t="str">
        <f t="shared" si="12"/>
        <v/>
      </c>
    </row>
    <row r="820" spans="1:1" x14ac:dyDescent="0.2">
      <c r="A820" s="23" t="str">
        <f t="shared" si="12"/>
        <v/>
      </c>
    </row>
    <row r="821" spans="1:1" x14ac:dyDescent="0.2">
      <c r="A821" s="23" t="str">
        <f t="shared" si="12"/>
        <v/>
      </c>
    </row>
    <row r="822" spans="1:1" x14ac:dyDescent="0.2">
      <c r="A822" s="23" t="str">
        <f t="shared" si="12"/>
        <v/>
      </c>
    </row>
    <row r="823" spans="1:1" x14ac:dyDescent="0.2">
      <c r="A823" s="23" t="str">
        <f t="shared" si="12"/>
        <v/>
      </c>
    </row>
    <row r="824" spans="1:1" x14ac:dyDescent="0.2">
      <c r="A824" s="23" t="str">
        <f t="shared" si="12"/>
        <v/>
      </c>
    </row>
    <row r="825" spans="1:1" x14ac:dyDescent="0.2">
      <c r="A825" s="23" t="str">
        <f t="shared" si="12"/>
        <v/>
      </c>
    </row>
    <row r="826" spans="1:1" x14ac:dyDescent="0.2">
      <c r="A826" s="23" t="str">
        <f t="shared" si="12"/>
        <v/>
      </c>
    </row>
    <row r="827" spans="1:1" x14ac:dyDescent="0.2">
      <c r="A827" s="23" t="str">
        <f t="shared" si="12"/>
        <v/>
      </c>
    </row>
    <row r="828" spans="1:1" x14ac:dyDescent="0.2">
      <c r="A828" s="23" t="str">
        <f t="shared" si="12"/>
        <v/>
      </c>
    </row>
    <row r="829" spans="1:1" x14ac:dyDescent="0.2">
      <c r="A829" s="23" t="str">
        <f t="shared" si="12"/>
        <v/>
      </c>
    </row>
    <row r="830" spans="1:1" x14ac:dyDescent="0.2">
      <c r="A830" s="23" t="str">
        <f t="shared" si="12"/>
        <v/>
      </c>
    </row>
    <row r="831" spans="1:1" x14ac:dyDescent="0.2">
      <c r="A831" s="23" t="str">
        <f t="shared" si="12"/>
        <v/>
      </c>
    </row>
    <row r="832" spans="1:1" x14ac:dyDescent="0.2">
      <c r="A832" s="23" t="str">
        <f t="shared" si="12"/>
        <v/>
      </c>
    </row>
    <row r="833" spans="1:1" x14ac:dyDescent="0.2">
      <c r="A833" s="23" t="str">
        <f t="shared" si="12"/>
        <v/>
      </c>
    </row>
    <row r="834" spans="1:1" x14ac:dyDescent="0.2">
      <c r="A834" s="23" t="str">
        <f t="shared" si="12"/>
        <v/>
      </c>
    </row>
    <row r="835" spans="1:1" x14ac:dyDescent="0.2">
      <c r="A835" s="23" t="str">
        <f t="shared" si="12"/>
        <v/>
      </c>
    </row>
    <row r="836" spans="1:1" x14ac:dyDescent="0.2">
      <c r="A836" s="23" t="str">
        <f t="shared" si="12"/>
        <v/>
      </c>
    </row>
    <row r="837" spans="1:1" x14ac:dyDescent="0.2">
      <c r="A837" s="23" t="str">
        <f t="shared" si="12"/>
        <v/>
      </c>
    </row>
    <row r="838" spans="1:1" x14ac:dyDescent="0.2">
      <c r="A838" s="23" t="str">
        <f t="shared" si="12"/>
        <v/>
      </c>
    </row>
    <row r="839" spans="1:1" x14ac:dyDescent="0.2">
      <c r="A839" s="23" t="str">
        <f t="shared" si="12"/>
        <v/>
      </c>
    </row>
    <row r="840" spans="1:1" x14ac:dyDescent="0.2">
      <c r="A840" s="23" t="str">
        <f t="shared" si="12"/>
        <v/>
      </c>
    </row>
    <row r="841" spans="1:1" x14ac:dyDescent="0.2">
      <c r="A841" s="23" t="str">
        <f t="shared" si="12"/>
        <v/>
      </c>
    </row>
    <row r="842" spans="1:1" x14ac:dyDescent="0.2">
      <c r="A842" s="23" t="str">
        <f t="shared" ref="A842:A905" si="13">IF(LEN(B842)&lt;&gt;0,ROW()-9,"")</f>
        <v/>
      </c>
    </row>
    <row r="843" spans="1:1" x14ac:dyDescent="0.2">
      <c r="A843" s="23" t="str">
        <f t="shared" si="13"/>
        <v/>
      </c>
    </row>
    <row r="844" spans="1:1" x14ac:dyDescent="0.2">
      <c r="A844" s="23" t="str">
        <f t="shared" si="13"/>
        <v/>
      </c>
    </row>
    <row r="845" spans="1:1" x14ac:dyDescent="0.2">
      <c r="A845" s="23" t="str">
        <f t="shared" si="13"/>
        <v/>
      </c>
    </row>
    <row r="846" spans="1:1" x14ac:dyDescent="0.2">
      <c r="A846" s="23" t="str">
        <f t="shared" si="13"/>
        <v/>
      </c>
    </row>
    <row r="847" spans="1:1" x14ac:dyDescent="0.2">
      <c r="A847" s="23" t="str">
        <f t="shared" si="13"/>
        <v/>
      </c>
    </row>
    <row r="848" spans="1:1" x14ac:dyDescent="0.2">
      <c r="A848" s="23" t="str">
        <f t="shared" si="13"/>
        <v/>
      </c>
    </row>
    <row r="849" spans="1:1" x14ac:dyDescent="0.2">
      <c r="A849" s="23" t="str">
        <f t="shared" si="13"/>
        <v/>
      </c>
    </row>
    <row r="850" spans="1:1" x14ac:dyDescent="0.2">
      <c r="A850" s="23" t="str">
        <f t="shared" si="13"/>
        <v/>
      </c>
    </row>
    <row r="851" spans="1:1" x14ac:dyDescent="0.2">
      <c r="A851" s="23" t="str">
        <f t="shared" si="13"/>
        <v/>
      </c>
    </row>
    <row r="852" spans="1:1" x14ac:dyDescent="0.2">
      <c r="A852" s="23" t="str">
        <f t="shared" si="13"/>
        <v/>
      </c>
    </row>
    <row r="853" spans="1:1" x14ac:dyDescent="0.2">
      <c r="A853" s="23" t="str">
        <f t="shared" si="13"/>
        <v/>
      </c>
    </row>
    <row r="854" spans="1:1" x14ac:dyDescent="0.2">
      <c r="A854" s="23" t="str">
        <f t="shared" si="13"/>
        <v/>
      </c>
    </row>
    <row r="855" spans="1:1" x14ac:dyDescent="0.2">
      <c r="A855" s="23" t="str">
        <f t="shared" si="13"/>
        <v/>
      </c>
    </row>
    <row r="856" spans="1:1" x14ac:dyDescent="0.2">
      <c r="A856" s="23" t="str">
        <f t="shared" si="13"/>
        <v/>
      </c>
    </row>
    <row r="857" spans="1:1" x14ac:dyDescent="0.2">
      <c r="A857" s="23" t="str">
        <f t="shared" si="13"/>
        <v/>
      </c>
    </row>
    <row r="858" spans="1:1" x14ac:dyDescent="0.2">
      <c r="A858" s="23" t="str">
        <f t="shared" si="13"/>
        <v/>
      </c>
    </row>
    <row r="859" spans="1:1" x14ac:dyDescent="0.2">
      <c r="A859" s="23" t="str">
        <f t="shared" si="13"/>
        <v/>
      </c>
    </row>
    <row r="860" spans="1:1" x14ac:dyDescent="0.2">
      <c r="A860" s="23" t="str">
        <f t="shared" si="13"/>
        <v/>
      </c>
    </row>
    <row r="861" spans="1:1" x14ac:dyDescent="0.2">
      <c r="A861" s="23" t="str">
        <f t="shared" si="13"/>
        <v/>
      </c>
    </row>
    <row r="862" spans="1:1" x14ac:dyDescent="0.2">
      <c r="A862" s="23" t="str">
        <f t="shared" si="13"/>
        <v/>
      </c>
    </row>
    <row r="863" spans="1:1" x14ac:dyDescent="0.2">
      <c r="A863" s="23" t="str">
        <f t="shared" si="13"/>
        <v/>
      </c>
    </row>
    <row r="864" spans="1:1" x14ac:dyDescent="0.2">
      <c r="A864" s="23" t="str">
        <f t="shared" si="13"/>
        <v/>
      </c>
    </row>
    <row r="865" spans="1:1" x14ac:dyDescent="0.2">
      <c r="A865" s="23" t="str">
        <f t="shared" si="13"/>
        <v/>
      </c>
    </row>
    <row r="866" spans="1:1" x14ac:dyDescent="0.2">
      <c r="A866" s="23" t="str">
        <f t="shared" si="13"/>
        <v/>
      </c>
    </row>
    <row r="867" spans="1:1" x14ac:dyDescent="0.2">
      <c r="A867" s="23" t="str">
        <f t="shared" si="13"/>
        <v/>
      </c>
    </row>
    <row r="868" spans="1:1" x14ac:dyDescent="0.2">
      <c r="A868" s="23" t="str">
        <f t="shared" si="13"/>
        <v/>
      </c>
    </row>
    <row r="869" spans="1:1" x14ac:dyDescent="0.2">
      <c r="A869" s="23" t="str">
        <f t="shared" si="13"/>
        <v/>
      </c>
    </row>
    <row r="870" spans="1:1" x14ac:dyDescent="0.2">
      <c r="A870" s="23" t="str">
        <f t="shared" si="13"/>
        <v/>
      </c>
    </row>
    <row r="871" spans="1:1" x14ac:dyDescent="0.2">
      <c r="A871" s="23" t="str">
        <f t="shared" si="13"/>
        <v/>
      </c>
    </row>
    <row r="872" spans="1:1" x14ac:dyDescent="0.2">
      <c r="A872" s="23" t="str">
        <f t="shared" si="13"/>
        <v/>
      </c>
    </row>
    <row r="873" spans="1:1" x14ac:dyDescent="0.2">
      <c r="A873" s="23" t="str">
        <f t="shared" si="13"/>
        <v/>
      </c>
    </row>
    <row r="874" spans="1:1" x14ac:dyDescent="0.2">
      <c r="A874" s="23" t="str">
        <f t="shared" si="13"/>
        <v/>
      </c>
    </row>
    <row r="875" spans="1:1" x14ac:dyDescent="0.2">
      <c r="A875" s="23" t="str">
        <f t="shared" si="13"/>
        <v/>
      </c>
    </row>
    <row r="876" spans="1:1" x14ac:dyDescent="0.2">
      <c r="A876" s="23" t="str">
        <f t="shared" si="13"/>
        <v/>
      </c>
    </row>
    <row r="877" spans="1:1" x14ac:dyDescent="0.2">
      <c r="A877" s="23" t="str">
        <f t="shared" si="13"/>
        <v/>
      </c>
    </row>
    <row r="878" spans="1:1" x14ac:dyDescent="0.2">
      <c r="A878" s="23" t="str">
        <f t="shared" si="13"/>
        <v/>
      </c>
    </row>
    <row r="879" spans="1:1" x14ac:dyDescent="0.2">
      <c r="A879" s="23" t="str">
        <f t="shared" si="13"/>
        <v/>
      </c>
    </row>
    <row r="880" spans="1:1" x14ac:dyDescent="0.2">
      <c r="A880" s="23" t="str">
        <f t="shared" si="13"/>
        <v/>
      </c>
    </row>
    <row r="881" spans="1:1" x14ac:dyDescent="0.2">
      <c r="A881" s="23" t="str">
        <f t="shared" si="13"/>
        <v/>
      </c>
    </row>
    <row r="882" spans="1:1" x14ac:dyDescent="0.2">
      <c r="A882" s="23" t="str">
        <f t="shared" si="13"/>
        <v/>
      </c>
    </row>
    <row r="883" spans="1:1" x14ac:dyDescent="0.2">
      <c r="A883" s="23" t="str">
        <f t="shared" si="13"/>
        <v/>
      </c>
    </row>
    <row r="884" spans="1:1" x14ac:dyDescent="0.2">
      <c r="A884" s="23" t="str">
        <f t="shared" si="13"/>
        <v/>
      </c>
    </row>
    <row r="885" spans="1:1" x14ac:dyDescent="0.2">
      <c r="A885" s="23" t="str">
        <f t="shared" si="13"/>
        <v/>
      </c>
    </row>
    <row r="886" spans="1:1" x14ac:dyDescent="0.2">
      <c r="A886" s="23" t="str">
        <f t="shared" si="13"/>
        <v/>
      </c>
    </row>
    <row r="887" spans="1:1" x14ac:dyDescent="0.2">
      <c r="A887" s="23" t="str">
        <f t="shared" si="13"/>
        <v/>
      </c>
    </row>
    <row r="888" spans="1:1" x14ac:dyDescent="0.2">
      <c r="A888" s="23" t="str">
        <f t="shared" si="13"/>
        <v/>
      </c>
    </row>
    <row r="889" spans="1:1" x14ac:dyDescent="0.2">
      <c r="A889" s="23" t="str">
        <f t="shared" si="13"/>
        <v/>
      </c>
    </row>
    <row r="890" spans="1:1" x14ac:dyDescent="0.2">
      <c r="A890" s="23" t="str">
        <f t="shared" si="13"/>
        <v/>
      </c>
    </row>
    <row r="891" spans="1:1" x14ac:dyDescent="0.2">
      <c r="A891" s="23" t="str">
        <f t="shared" si="13"/>
        <v/>
      </c>
    </row>
    <row r="892" spans="1:1" x14ac:dyDescent="0.2">
      <c r="A892" s="23" t="str">
        <f t="shared" si="13"/>
        <v/>
      </c>
    </row>
    <row r="893" spans="1:1" x14ac:dyDescent="0.2">
      <c r="A893" s="23" t="str">
        <f t="shared" si="13"/>
        <v/>
      </c>
    </row>
    <row r="894" spans="1:1" x14ac:dyDescent="0.2">
      <c r="A894" s="23" t="str">
        <f t="shared" si="13"/>
        <v/>
      </c>
    </row>
    <row r="895" spans="1:1" x14ac:dyDescent="0.2">
      <c r="A895" s="23" t="str">
        <f t="shared" si="13"/>
        <v/>
      </c>
    </row>
    <row r="896" spans="1:1" x14ac:dyDescent="0.2">
      <c r="A896" s="23" t="str">
        <f t="shared" si="13"/>
        <v/>
      </c>
    </row>
    <row r="897" spans="1:1" x14ac:dyDescent="0.2">
      <c r="A897" s="23" t="str">
        <f t="shared" si="13"/>
        <v/>
      </c>
    </row>
    <row r="898" spans="1:1" x14ac:dyDescent="0.2">
      <c r="A898" s="23" t="str">
        <f t="shared" si="13"/>
        <v/>
      </c>
    </row>
    <row r="899" spans="1:1" x14ac:dyDescent="0.2">
      <c r="A899" s="23" t="str">
        <f t="shared" si="13"/>
        <v/>
      </c>
    </row>
    <row r="900" spans="1:1" x14ac:dyDescent="0.2">
      <c r="A900" s="23" t="str">
        <f t="shared" si="13"/>
        <v/>
      </c>
    </row>
    <row r="901" spans="1:1" x14ac:dyDescent="0.2">
      <c r="A901" s="23" t="str">
        <f t="shared" si="13"/>
        <v/>
      </c>
    </row>
    <row r="902" spans="1:1" x14ac:dyDescent="0.2">
      <c r="A902" s="23" t="str">
        <f t="shared" si="13"/>
        <v/>
      </c>
    </row>
    <row r="903" spans="1:1" x14ac:dyDescent="0.2">
      <c r="A903" s="23" t="str">
        <f t="shared" si="13"/>
        <v/>
      </c>
    </row>
    <row r="904" spans="1:1" x14ac:dyDescent="0.2">
      <c r="A904" s="23" t="str">
        <f t="shared" si="13"/>
        <v/>
      </c>
    </row>
    <row r="905" spans="1:1" x14ac:dyDescent="0.2">
      <c r="A905" s="23" t="str">
        <f t="shared" si="13"/>
        <v/>
      </c>
    </row>
    <row r="906" spans="1:1" x14ac:dyDescent="0.2">
      <c r="A906" s="23" t="str">
        <f t="shared" ref="A906:A969" si="14">IF(LEN(B906)&lt;&gt;0,ROW()-9,"")</f>
        <v/>
      </c>
    </row>
    <row r="907" spans="1:1" x14ac:dyDescent="0.2">
      <c r="A907" s="23" t="str">
        <f t="shared" si="14"/>
        <v/>
      </c>
    </row>
    <row r="908" spans="1:1" x14ac:dyDescent="0.2">
      <c r="A908" s="23" t="str">
        <f t="shared" si="14"/>
        <v/>
      </c>
    </row>
    <row r="909" spans="1:1" x14ac:dyDescent="0.2">
      <c r="A909" s="23" t="str">
        <f t="shared" si="14"/>
        <v/>
      </c>
    </row>
    <row r="910" spans="1:1" x14ac:dyDescent="0.2">
      <c r="A910" s="23" t="str">
        <f t="shared" si="14"/>
        <v/>
      </c>
    </row>
    <row r="911" spans="1:1" x14ac:dyDescent="0.2">
      <c r="A911" s="23" t="str">
        <f t="shared" si="14"/>
        <v/>
      </c>
    </row>
    <row r="912" spans="1:1" x14ac:dyDescent="0.2">
      <c r="A912" s="23" t="str">
        <f t="shared" si="14"/>
        <v/>
      </c>
    </row>
    <row r="913" spans="1:1" x14ac:dyDescent="0.2">
      <c r="A913" s="23" t="str">
        <f t="shared" si="14"/>
        <v/>
      </c>
    </row>
    <row r="914" spans="1:1" x14ac:dyDescent="0.2">
      <c r="A914" s="23" t="str">
        <f t="shared" si="14"/>
        <v/>
      </c>
    </row>
    <row r="915" spans="1:1" x14ac:dyDescent="0.2">
      <c r="A915" s="23" t="str">
        <f t="shared" si="14"/>
        <v/>
      </c>
    </row>
    <row r="916" spans="1:1" x14ac:dyDescent="0.2">
      <c r="A916" s="23" t="str">
        <f t="shared" si="14"/>
        <v/>
      </c>
    </row>
    <row r="917" spans="1:1" x14ac:dyDescent="0.2">
      <c r="A917" s="23" t="str">
        <f t="shared" si="14"/>
        <v/>
      </c>
    </row>
    <row r="918" spans="1:1" x14ac:dyDescent="0.2">
      <c r="A918" s="23" t="str">
        <f t="shared" si="14"/>
        <v/>
      </c>
    </row>
    <row r="919" spans="1:1" x14ac:dyDescent="0.2">
      <c r="A919" s="23" t="str">
        <f t="shared" si="14"/>
        <v/>
      </c>
    </row>
    <row r="920" spans="1:1" x14ac:dyDescent="0.2">
      <c r="A920" s="23" t="str">
        <f t="shared" si="14"/>
        <v/>
      </c>
    </row>
    <row r="921" spans="1:1" x14ac:dyDescent="0.2">
      <c r="A921" s="23" t="str">
        <f t="shared" si="14"/>
        <v/>
      </c>
    </row>
    <row r="922" spans="1:1" x14ac:dyDescent="0.2">
      <c r="A922" s="23" t="str">
        <f t="shared" si="14"/>
        <v/>
      </c>
    </row>
    <row r="923" spans="1:1" x14ac:dyDescent="0.2">
      <c r="A923" s="23" t="str">
        <f t="shared" si="14"/>
        <v/>
      </c>
    </row>
    <row r="924" spans="1:1" x14ac:dyDescent="0.2">
      <c r="A924" s="23" t="str">
        <f t="shared" si="14"/>
        <v/>
      </c>
    </row>
    <row r="925" spans="1:1" x14ac:dyDescent="0.2">
      <c r="A925" s="23" t="str">
        <f t="shared" si="14"/>
        <v/>
      </c>
    </row>
    <row r="926" spans="1:1" x14ac:dyDescent="0.2">
      <c r="A926" s="23" t="str">
        <f t="shared" si="14"/>
        <v/>
      </c>
    </row>
    <row r="927" spans="1:1" x14ac:dyDescent="0.2">
      <c r="A927" s="23" t="str">
        <f t="shared" si="14"/>
        <v/>
      </c>
    </row>
    <row r="928" spans="1:1" x14ac:dyDescent="0.2">
      <c r="A928" s="23" t="str">
        <f t="shared" si="14"/>
        <v/>
      </c>
    </row>
    <row r="929" spans="1:1" x14ac:dyDescent="0.2">
      <c r="A929" s="23" t="str">
        <f t="shared" si="14"/>
        <v/>
      </c>
    </row>
    <row r="930" spans="1:1" x14ac:dyDescent="0.2">
      <c r="A930" s="23" t="str">
        <f t="shared" si="14"/>
        <v/>
      </c>
    </row>
    <row r="931" spans="1:1" x14ac:dyDescent="0.2">
      <c r="A931" s="23" t="str">
        <f t="shared" si="14"/>
        <v/>
      </c>
    </row>
    <row r="932" spans="1:1" x14ac:dyDescent="0.2">
      <c r="A932" s="23" t="str">
        <f t="shared" si="14"/>
        <v/>
      </c>
    </row>
    <row r="933" spans="1:1" x14ac:dyDescent="0.2">
      <c r="A933" s="23" t="str">
        <f t="shared" si="14"/>
        <v/>
      </c>
    </row>
    <row r="934" spans="1:1" x14ac:dyDescent="0.2">
      <c r="A934" s="23" t="str">
        <f t="shared" si="14"/>
        <v/>
      </c>
    </row>
    <row r="935" spans="1:1" x14ac:dyDescent="0.2">
      <c r="A935" s="23" t="str">
        <f t="shared" si="14"/>
        <v/>
      </c>
    </row>
    <row r="936" spans="1:1" x14ac:dyDescent="0.2">
      <c r="A936" s="23" t="str">
        <f t="shared" si="14"/>
        <v/>
      </c>
    </row>
    <row r="937" spans="1:1" x14ac:dyDescent="0.2">
      <c r="A937" s="23" t="str">
        <f t="shared" si="14"/>
        <v/>
      </c>
    </row>
    <row r="938" spans="1:1" x14ac:dyDescent="0.2">
      <c r="A938" s="23" t="str">
        <f t="shared" si="14"/>
        <v/>
      </c>
    </row>
    <row r="939" spans="1:1" x14ac:dyDescent="0.2">
      <c r="A939" s="23" t="str">
        <f t="shared" si="14"/>
        <v/>
      </c>
    </row>
    <row r="940" spans="1:1" x14ac:dyDescent="0.2">
      <c r="A940" s="23" t="str">
        <f t="shared" si="14"/>
        <v/>
      </c>
    </row>
    <row r="941" spans="1:1" x14ac:dyDescent="0.2">
      <c r="A941" s="23" t="str">
        <f t="shared" si="14"/>
        <v/>
      </c>
    </row>
    <row r="942" spans="1:1" x14ac:dyDescent="0.2">
      <c r="A942" s="23" t="str">
        <f t="shared" si="14"/>
        <v/>
      </c>
    </row>
    <row r="943" spans="1:1" x14ac:dyDescent="0.2">
      <c r="A943" s="23" t="str">
        <f t="shared" si="14"/>
        <v/>
      </c>
    </row>
    <row r="944" spans="1:1" x14ac:dyDescent="0.2">
      <c r="A944" s="23" t="str">
        <f t="shared" si="14"/>
        <v/>
      </c>
    </row>
    <row r="945" spans="1:1" x14ac:dyDescent="0.2">
      <c r="A945" s="23" t="str">
        <f t="shared" si="14"/>
        <v/>
      </c>
    </row>
    <row r="946" spans="1:1" x14ac:dyDescent="0.2">
      <c r="A946" s="23" t="str">
        <f t="shared" si="14"/>
        <v/>
      </c>
    </row>
    <row r="947" spans="1:1" x14ac:dyDescent="0.2">
      <c r="A947" s="23" t="str">
        <f t="shared" si="14"/>
        <v/>
      </c>
    </row>
    <row r="948" spans="1:1" x14ac:dyDescent="0.2">
      <c r="A948" s="23" t="str">
        <f t="shared" si="14"/>
        <v/>
      </c>
    </row>
    <row r="949" spans="1:1" x14ac:dyDescent="0.2">
      <c r="A949" s="23" t="str">
        <f t="shared" si="14"/>
        <v/>
      </c>
    </row>
    <row r="950" spans="1:1" x14ac:dyDescent="0.2">
      <c r="A950" s="23" t="str">
        <f t="shared" si="14"/>
        <v/>
      </c>
    </row>
    <row r="951" spans="1:1" x14ac:dyDescent="0.2">
      <c r="A951" s="23" t="str">
        <f t="shared" si="14"/>
        <v/>
      </c>
    </row>
    <row r="952" spans="1:1" x14ac:dyDescent="0.2">
      <c r="A952" s="23" t="str">
        <f t="shared" si="14"/>
        <v/>
      </c>
    </row>
    <row r="953" spans="1:1" x14ac:dyDescent="0.2">
      <c r="A953" s="23" t="str">
        <f t="shared" si="14"/>
        <v/>
      </c>
    </row>
    <row r="954" spans="1:1" x14ac:dyDescent="0.2">
      <c r="A954" s="23" t="str">
        <f t="shared" si="14"/>
        <v/>
      </c>
    </row>
    <row r="955" spans="1:1" x14ac:dyDescent="0.2">
      <c r="A955" s="23" t="str">
        <f t="shared" si="14"/>
        <v/>
      </c>
    </row>
    <row r="956" spans="1:1" x14ac:dyDescent="0.2">
      <c r="A956" s="23" t="str">
        <f t="shared" si="14"/>
        <v/>
      </c>
    </row>
    <row r="957" spans="1:1" x14ac:dyDescent="0.2">
      <c r="A957" s="23" t="str">
        <f t="shared" si="14"/>
        <v/>
      </c>
    </row>
    <row r="958" spans="1:1" x14ac:dyDescent="0.2">
      <c r="A958" s="23" t="str">
        <f t="shared" si="14"/>
        <v/>
      </c>
    </row>
    <row r="959" spans="1:1" x14ac:dyDescent="0.2">
      <c r="A959" s="23" t="str">
        <f t="shared" si="14"/>
        <v/>
      </c>
    </row>
    <row r="960" spans="1:1" x14ac:dyDescent="0.2">
      <c r="A960" s="23" t="str">
        <f t="shared" si="14"/>
        <v/>
      </c>
    </row>
    <row r="961" spans="1:1" x14ac:dyDescent="0.2">
      <c r="A961" s="23" t="str">
        <f t="shared" si="14"/>
        <v/>
      </c>
    </row>
    <row r="962" spans="1:1" x14ac:dyDescent="0.2">
      <c r="A962" s="23" t="str">
        <f t="shared" si="14"/>
        <v/>
      </c>
    </row>
    <row r="963" spans="1:1" x14ac:dyDescent="0.2">
      <c r="A963" s="23" t="str">
        <f t="shared" si="14"/>
        <v/>
      </c>
    </row>
    <row r="964" spans="1:1" x14ac:dyDescent="0.2">
      <c r="A964" s="23" t="str">
        <f t="shared" si="14"/>
        <v/>
      </c>
    </row>
    <row r="965" spans="1:1" x14ac:dyDescent="0.2">
      <c r="A965" s="23" t="str">
        <f t="shared" si="14"/>
        <v/>
      </c>
    </row>
    <row r="966" spans="1:1" x14ac:dyDescent="0.2">
      <c r="A966" s="23" t="str">
        <f t="shared" si="14"/>
        <v/>
      </c>
    </row>
    <row r="967" spans="1:1" x14ac:dyDescent="0.2">
      <c r="A967" s="23" t="str">
        <f t="shared" si="14"/>
        <v/>
      </c>
    </row>
    <row r="968" spans="1:1" x14ac:dyDescent="0.2">
      <c r="A968" s="23" t="str">
        <f t="shared" si="14"/>
        <v/>
      </c>
    </row>
    <row r="969" spans="1:1" x14ac:dyDescent="0.2">
      <c r="A969" s="23" t="str">
        <f t="shared" si="14"/>
        <v/>
      </c>
    </row>
    <row r="970" spans="1:1" x14ac:dyDescent="0.2">
      <c r="A970" s="23" t="str">
        <f t="shared" ref="A970:A1000" si="15">IF(LEN(B970)&lt;&gt;0,ROW()-9,"")</f>
        <v/>
      </c>
    </row>
    <row r="971" spans="1:1" x14ac:dyDescent="0.2">
      <c r="A971" s="23" t="str">
        <f t="shared" si="15"/>
        <v/>
      </c>
    </row>
    <row r="972" spans="1:1" x14ac:dyDescent="0.2">
      <c r="A972" s="23" t="str">
        <f t="shared" si="15"/>
        <v/>
      </c>
    </row>
    <row r="973" spans="1:1" x14ac:dyDescent="0.2">
      <c r="A973" s="23" t="str">
        <f t="shared" si="15"/>
        <v/>
      </c>
    </row>
    <row r="974" spans="1:1" x14ac:dyDescent="0.2">
      <c r="A974" s="23" t="str">
        <f t="shared" si="15"/>
        <v/>
      </c>
    </row>
    <row r="975" spans="1:1" x14ac:dyDescent="0.2">
      <c r="A975" s="23" t="str">
        <f t="shared" si="15"/>
        <v/>
      </c>
    </row>
    <row r="976" spans="1:1" x14ac:dyDescent="0.2">
      <c r="A976" s="23" t="str">
        <f t="shared" si="15"/>
        <v/>
      </c>
    </row>
    <row r="977" spans="1:1" x14ac:dyDescent="0.2">
      <c r="A977" s="23" t="str">
        <f t="shared" si="15"/>
        <v/>
      </c>
    </row>
    <row r="978" spans="1:1" x14ac:dyDescent="0.2">
      <c r="A978" s="23" t="str">
        <f t="shared" si="15"/>
        <v/>
      </c>
    </row>
    <row r="979" spans="1:1" x14ac:dyDescent="0.2">
      <c r="A979" s="23" t="str">
        <f t="shared" si="15"/>
        <v/>
      </c>
    </row>
    <row r="980" spans="1:1" x14ac:dyDescent="0.2">
      <c r="A980" s="23" t="str">
        <f t="shared" si="15"/>
        <v/>
      </c>
    </row>
    <row r="981" spans="1:1" x14ac:dyDescent="0.2">
      <c r="A981" s="23" t="str">
        <f t="shared" si="15"/>
        <v/>
      </c>
    </row>
    <row r="982" spans="1:1" x14ac:dyDescent="0.2">
      <c r="A982" s="23" t="str">
        <f t="shared" si="15"/>
        <v/>
      </c>
    </row>
    <row r="983" spans="1:1" x14ac:dyDescent="0.2">
      <c r="A983" s="23" t="str">
        <f t="shared" si="15"/>
        <v/>
      </c>
    </row>
    <row r="984" spans="1:1" x14ac:dyDescent="0.2">
      <c r="A984" s="23" t="str">
        <f t="shared" si="15"/>
        <v/>
      </c>
    </row>
    <row r="985" spans="1:1" x14ac:dyDescent="0.2">
      <c r="A985" s="23" t="str">
        <f t="shared" si="15"/>
        <v/>
      </c>
    </row>
    <row r="986" spans="1:1" x14ac:dyDescent="0.2">
      <c r="A986" s="23" t="str">
        <f t="shared" si="15"/>
        <v/>
      </c>
    </row>
    <row r="987" spans="1:1" x14ac:dyDescent="0.2">
      <c r="A987" s="23" t="str">
        <f t="shared" si="15"/>
        <v/>
      </c>
    </row>
    <row r="988" spans="1:1" x14ac:dyDescent="0.2">
      <c r="A988" s="23" t="str">
        <f t="shared" si="15"/>
        <v/>
      </c>
    </row>
    <row r="989" spans="1:1" x14ac:dyDescent="0.2">
      <c r="A989" s="23" t="str">
        <f t="shared" si="15"/>
        <v/>
      </c>
    </row>
    <row r="990" spans="1:1" x14ac:dyDescent="0.2">
      <c r="A990" s="23" t="str">
        <f t="shared" si="15"/>
        <v/>
      </c>
    </row>
    <row r="991" spans="1:1" x14ac:dyDescent="0.2">
      <c r="A991" s="23" t="str">
        <f t="shared" si="15"/>
        <v/>
      </c>
    </row>
    <row r="992" spans="1:1" x14ac:dyDescent="0.2">
      <c r="A992" s="23" t="str">
        <f t="shared" si="15"/>
        <v/>
      </c>
    </row>
    <row r="993" spans="1:1" x14ac:dyDescent="0.2">
      <c r="A993" s="23" t="str">
        <f t="shared" si="15"/>
        <v/>
      </c>
    </row>
    <row r="994" spans="1:1" x14ac:dyDescent="0.2">
      <c r="A994" s="23" t="str">
        <f t="shared" si="15"/>
        <v/>
      </c>
    </row>
    <row r="995" spans="1:1" x14ac:dyDescent="0.2">
      <c r="A995" s="23" t="str">
        <f t="shared" si="15"/>
        <v/>
      </c>
    </row>
    <row r="996" spans="1:1" x14ac:dyDescent="0.2">
      <c r="A996" s="23" t="str">
        <f t="shared" si="15"/>
        <v/>
      </c>
    </row>
    <row r="997" spans="1:1" x14ac:dyDescent="0.2">
      <c r="A997" s="23" t="str">
        <f t="shared" si="15"/>
        <v/>
      </c>
    </row>
    <row r="998" spans="1:1" x14ac:dyDescent="0.2">
      <c r="A998" s="23" t="str">
        <f t="shared" si="15"/>
        <v/>
      </c>
    </row>
    <row r="999" spans="1:1" x14ac:dyDescent="0.2">
      <c r="A999" s="23" t="str">
        <f t="shared" si="15"/>
        <v/>
      </c>
    </row>
    <row r="1000" spans="1:1" x14ac:dyDescent="0.2">
      <c r="A1000" s="23" t="str">
        <f t="shared" si="15"/>
        <v/>
      </c>
    </row>
  </sheetData>
  <conditionalFormatting sqref="A9">
    <cfRule type="notContainsBlanks" dxfId="1" priority="12">
      <formula>LEN(TRIM(A9))&gt;0</formula>
    </cfRule>
  </conditionalFormatting>
  <conditionalFormatting sqref="A10:M1009">
    <cfRule type="notContainsBlanks" dxfId="0" priority="4">
      <formula>LEN(TRIM(A10))&gt;0</formula>
    </cfRule>
  </conditionalFormatting>
  <dataValidations count="3">
    <dataValidation type="list" allowBlank="1" showInputMessage="1" showErrorMessage="1" sqref="B4">
      <formula1>DaftarKontak</formula1>
    </dataValidation>
    <dataValidation type="list" allowBlank="1" showInputMessage="1" showErrorMessage="1" sqref="C4">
      <formula1>CariPembeli</formula1>
    </dataValidation>
    <dataValidation type="list" allowBlank="1" showInputMessage="1" showErrorMessage="1" sqref="D4">
      <formula1>Status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DaftarKontak</vt:lpstr>
      <vt:lpstr>Input</vt:lpstr>
      <vt:lpstr>PartsData</vt:lpstr>
      <vt:lpstr>InputLinks</vt:lpstr>
      <vt:lpstr>SelRecordLinks</vt:lpstr>
      <vt:lpstr>CariData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cp:lastPrinted>2009-11-05T16:10:15Z</cp:lastPrinted>
  <dcterms:created xsi:type="dcterms:W3CDTF">2003-08-10T01:51:48Z</dcterms:created>
  <dcterms:modified xsi:type="dcterms:W3CDTF">2018-02-12T01:14:45Z</dcterms:modified>
</cp:coreProperties>
</file>