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-15" yWindow="4830" windowWidth="18270" windowHeight="4875"/>
  </bookViews>
  <sheets>
    <sheet name="Input" sheetId="2" r:id="rId1"/>
    <sheet name="PartsData" sheetId="1" r:id="rId2"/>
    <sheet name="InputLinks" sheetId="9" state="hidden" r:id="rId3"/>
    <sheet name="SelRecordLinks" sheetId="11" state="hidden" r:id="rId4"/>
  </sheets>
  <definedNames>
    <definedName name="_xlnm._FilterDatabase" localSheetId="1" hidden="1">PartsData!$C$1:$G$1</definedName>
    <definedName name="CheckID">Input!$L$3</definedName>
    <definedName name="CurrRec">Input!$N$6</definedName>
    <definedName name="DaftarKontak">OFFSET(#REF!,1,0,COUNTA(#REF!)-1,1)</definedName>
    <definedName name="DaftarPembeli">OFFSET(#REF!,1,0,COUNTA(#REF!)-1,1)</definedName>
    <definedName name="DataPesanan">OFFSET(#REF!,0,0,COUNTA(#REF!),COUNTA(#REF!))</definedName>
    <definedName name="DataStok">OFFSET(PartsData!$C$1,1,0,COUNTA(PartsData!$C:$C)-1,104)</definedName>
    <definedName name="DB_Row">SelRecordLinks!$C$1</definedName>
    <definedName name="InputA">Input!$D$5:$D$110</definedName>
    <definedName name="InputCopy">InputLinks!$A$6:$CZ$6</definedName>
    <definedName name="MandFields">InputLinks!$C$2</definedName>
    <definedName name="Musim">OFFSET(#REF!,1,0,COUNTA(#REF!)-1,1)</definedName>
    <definedName name="NamaKontak">OFFSET(#REF!,1,0,COUNTA(#REF!)-1,1)</definedName>
    <definedName name="NamaPembeli">#REF!:INDEX(#REF!,COUNTIF(#REF!,"?*"))</definedName>
    <definedName name="NamaPembeliPanen">#REF!:INDEX(#REF!,COUNTIF(#REF!,"?*"))</definedName>
    <definedName name="OrderEntry">Input!$D$5:$D$110</definedName>
    <definedName name="OrderID">Input!$D$7</definedName>
    <definedName name="OrderIDList">OFFSET(PartsData!$E$1,1,0,COUNTA(PartsData!$E:$E)-1,1)</definedName>
    <definedName name="OrderSel">Input!$J$7</definedName>
    <definedName name="PartsDatabase">OFFSET(PartsData!$A$1,0,0,COUNTA(PartsData!$A:$A),COUNTA(PartsData!$1:$1))</definedName>
    <definedName name="SelRec">Input!$K$3</definedName>
    <definedName name="SelValA">SelRecordLinks!$D$4:$D$108</definedName>
    <definedName name="SelValB">SelRecordLinks!$J$4:$J$6</definedName>
    <definedName name="StartCol">InputLinks!$A$2</definedName>
  </definedNames>
  <calcPr calcId="124519"/>
</workbook>
</file>

<file path=xl/calcChain.xml><?xml version="1.0" encoding="utf-8"?>
<calcChain xmlns="http://schemas.openxmlformats.org/spreadsheetml/2006/main">
  <c r="B5" i="1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D45" s="1"/>
  <c r="B46"/>
  <c r="D46" s="1"/>
  <c r="B47"/>
  <c r="D47" s="1"/>
  <c r="B48"/>
  <c r="D48" s="1"/>
  <c r="B49"/>
  <c r="D49" s="1"/>
  <c r="B50"/>
  <c r="D50" s="1"/>
  <c r="B51"/>
  <c r="D51" s="1"/>
  <c r="B52"/>
  <c r="D52" s="1"/>
  <c r="B53"/>
  <c r="D53" s="1"/>
  <c r="B54"/>
  <c r="D54" s="1"/>
  <c r="B55"/>
  <c r="D55" s="1"/>
  <c r="B56"/>
  <c r="D56" s="1"/>
  <c r="B57"/>
  <c r="D57" s="1"/>
  <c r="B58"/>
  <c r="D58" s="1"/>
  <c r="B59"/>
  <c r="D59" s="1"/>
  <c r="B60"/>
  <c r="D60" s="1"/>
  <c r="B61"/>
  <c r="D61" s="1"/>
  <c r="B62"/>
  <c r="D62" s="1"/>
  <c r="B63"/>
  <c r="D63" s="1"/>
  <c r="B64"/>
  <c r="D64" s="1"/>
  <c r="B65"/>
  <c r="D65" s="1"/>
  <c r="B66"/>
  <c r="D66" s="1"/>
  <c r="B67"/>
  <c r="D67" s="1"/>
  <c r="B68"/>
  <c r="D68" s="1"/>
  <c r="B69"/>
  <c r="D69" s="1"/>
  <c r="B70"/>
  <c r="D70" s="1"/>
  <c r="B71"/>
  <c r="D71" s="1"/>
  <c r="B72"/>
  <c r="D72" s="1"/>
  <c r="B73"/>
  <c r="D73" s="1"/>
  <c r="B74"/>
  <c r="D74" s="1"/>
  <c r="B75"/>
  <c r="D75" s="1"/>
  <c r="B76"/>
  <c r="D76" s="1"/>
  <c r="B77"/>
  <c r="D77" s="1"/>
  <c r="B78"/>
  <c r="D78" s="1"/>
  <c r="B79"/>
  <c r="D79" s="1"/>
  <c r="B80"/>
  <c r="D80" s="1"/>
  <c r="B81"/>
  <c r="D81" s="1"/>
  <c r="B82"/>
  <c r="D82" s="1"/>
  <c r="B83"/>
  <c r="D83" s="1"/>
  <c r="B84"/>
  <c r="D84" s="1"/>
  <c r="B85"/>
  <c r="D85" s="1"/>
  <c r="B86"/>
  <c r="D86" s="1"/>
  <c r="B87"/>
  <c r="D87" s="1"/>
  <c r="B88"/>
  <c r="D88" s="1"/>
  <c r="B89"/>
  <c r="D89" s="1"/>
  <c r="B90"/>
  <c r="D90" s="1"/>
  <c r="B91"/>
  <c r="D91" s="1"/>
  <c r="B92"/>
  <c r="D92" s="1"/>
  <c r="B93"/>
  <c r="D93" s="1"/>
  <c r="B94"/>
  <c r="D94" s="1"/>
  <c r="B95"/>
  <c r="D95" s="1"/>
  <c r="B96"/>
  <c r="D96" s="1"/>
  <c r="B97"/>
  <c r="D97" s="1"/>
  <c r="B98"/>
  <c r="D98" s="1"/>
  <c r="B99"/>
  <c r="D99" s="1"/>
  <c r="B100"/>
  <c r="D100" s="1"/>
  <c r="B101"/>
  <c r="D101" s="1"/>
  <c r="B102"/>
  <c r="D102" s="1"/>
  <c r="B103"/>
  <c r="D103" s="1"/>
  <c r="B104"/>
  <c r="D104" s="1"/>
  <c r="B105"/>
  <c r="D105" s="1"/>
  <c r="B106"/>
  <c r="D106" s="1"/>
  <c r="B107"/>
  <c r="D107" s="1"/>
  <c r="B108"/>
  <c r="D108" s="1"/>
  <c r="B4"/>
  <c r="J9" i="9"/>
  <c r="R9"/>
  <c r="Z9"/>
  <c r="AH9"/>
  <c r="AP9"/>
  <c r="AX9"/>
  <c r="BF9"/>
  <c r="BN9"/>
  <c r="BV9"/>
  <c r="CD9"/>
  <c r="CL9"/>
  <c r="CT9"/>
  <c r="BZ9"/>
  <c r="BI9"/>
  <c r="BY9"/>
  <c r="AY9"/>
  <c r="I9"/>
  <c r="Q9"/>
  <c r="Y9"/>
  <c r="AG9"/>
  <c r="AO9"/>
  <c r="AW9"/>
  <c r="BE9"/>
  <c r="BM9"/>
  <c r="BU9"/>
  <c r="CC9"/>
  <c r="CK9"/>
  <c r="CS9"/>
  <c r="CP9"/>
  <c r="M9"/>
  <c r="CW9"/>
  <c r="AI9"/>
  <c r="BW9"/>
  <c r="H9"/>
  <c r="P9"/>
  <c r="X9"/>
  <c r="AF9"/>
  <c r="AN9"/>
  <c r="AV9"/>
  <c r="BD9"/>
  <c r="BL9"/>
  <c r="BT9"/>
  <c r="CB9"/>
  <c r="CJ9"/>
  <c r="CR9"/>
  <c r="CZ9"/>
  <c r="BA9"/>
  <c r="BQ9"/>
  <c r="CO9"/>
  <c r="AA9"/>
  <c r="CE9"/>
  <c r="G9"/>
  <c r="O9"/>
  <c r="W9"/>
  <c r="AE9"/>
  <c r="AM9"/>
  <c r="AU9"/>
  <c r="BC9"/>
  <c r="BK9"/>
  <c r="BS9"/>
  <c r="CA9"/>
  <c r="CI9"/>
  <c r="CQ9"/>
  <c r="CY9"/>
  <c r="CX9"/>
  <c r="AC9"/>
  <c r="AK9"/>
  <c r="AS9"/>
  <c r="S9"/>
  <c r="BO9"/>
  <c r="F9"/>
  <c r="N9"/>
  <c r="V9"/>
  <c r="AD9"/>
  <c r="AL9"/>
  <c r="AT9"/>
  <c r="BB9"/>
  <c r="BJ9"/>
  <c r="BR9"/>
  <c r="CH9"/>
  <c r="U9"/>
  <c r="CG9"/>
  <c r="AQ9"/>
  <c r="CM9"/>
  <c r="E9"/>
  <c r="L9"/>
  <c r="T9"/>
  <c r="AB9"/>
  <c r="AJ9"/>
  <c r="AR9"/>
  <c r="AZ9"/>
  <c r="BH9"/>
  <c r="BP9"/>
  <c r="BX9"/>
  <c r="CF9"/>
  <c r="CN9"/>
  <c r="CV9"/>
  <c r="K9"/>
  <c r="BG9"/>
  <c r="CU9"/>
  <c r="C101" i="11" l="1"/>
  <c r="C93"/>
  <c r="C85"/>
  <c r="C77"/>
  <c r="C69"/>
  <c r="C61"/>
  <c r="C53"/>
  <c r="C45"/>
  <c r="C102"/>
  <c r="C94"/>
  <c r="C86"/>
  <c r="C78"/>
  <c r="C70"/>
  <c r="C62"/>
  <c r="C54"/>
  <c r="C46"/>
  <c r="C103"/>
  <c r="C95"/>
  <c r="C87"/>
  <c r="C79"/>
  <c r="C71"/>
  <c r="C63"/>
  <c r="C55"/>
  <c r="C47"/>
  <c r="C104"/>
  <c r="C96"/>
  <c r="C88"/>
  <c r="C80"/>
  <c r="C72"/>
  <c r="C64"/>
  <c r="C56"/>
  <c r="C48"/>
  <c r="C105"/>
  <c r="C97"/>
  <c r="C89"/>
  <c r="C81"/>
  <c r="C73"/>
  <c r="C65"/>
  <c r="C57"/>
  <c r="C49"/>
  <c r="C106"/>
  <c r="C98"/>
  <c r="C90"/>
  <c r="C82"/>
  <c r="C74"/>
  <c r="C66"/>
  <c r="C58"/>
  <c r="C50"/>
  <c r="C107"/>
  <c r="C99"/>
  <c r="C91"/>
  <c r="C83"/>
  <c r="C75"/>
  <c r="C67"/>
  <c r="C59"/>
  <c r="C51"/>
  <c r="C108"/>
  <c r="C100"/>
  <c r="C92"/>
  <c r="C84"/>
  <c r="C76"/>
  <c r="C68"/>
  <c r="C60"/>
  <c r="C52"/>
  <c r="Z1" i="1"/>
  <c r="X5" i="9" s="1"/>
  <c r="B6"/>
  <c r="J6"/>
  <c r="R6"/>
  <c r="Z6"/>
  <c r="AH6"/>
  <c r="AP6"/>
  <c r="AX6"/>
  <c r="BF6"/>
  <c r="BN6"/>
  <c r="BV6"/>
  <c r="CD6"/>
  <c r="CL6"/>
  <c r="CT6"/>
  <c r="CV6"/>
  <c r="I6"/>
  <c r="Q6"/>
  <c r="Y6"/>
  <c r="AG6"/>
  <c r="AO6"/>
  <c r="AW6"/>
  <c r="BE6"/>
  <c r="BM6"/>
  <c r="BU6"/>
  <c r="CC6"/>
  <c r="CK6"/>
  <c r="CS6"/>
  <c r="CG6"/>
  <c r="H6"/>
  <c r="P6"/>
  <c r="X6"/>
  <c r="AF6"/>
  <c r="AN6"/>
  <c r="AV6"/>
  <c r="BD6"/>
  <c r="BL6"/>
  <c r="BT6"/>
  <c r="CB6"/>
  <c r="CJ6"/>
  <c r="CR6"/>
  <c r="CZ6"/>
  <c r="CN6"/>
  <c r="G6"/>
  <c r="O6"/>
  <c r="W6"/>
  <c r="AE6"/>
  <c r="AM6"/>
  <c r="AU6"/>
  <c r="BC6"/>
  <c r="BK6"/>
  <c r="BS6"/>
  <c r="CA6"/>
  <c r="CI6"/>
  <c r="CQ6"/>
  <c r="CY6"/>
  <c r="CW6"/>
  <c r="CU6"/>
  <c r="F6"/>
  <c r="N6"/>
  <c r="V6"/>
  <c r="AD6"/>
  <c r="AL6"/>
  <c r="AT6"/>
  <c r="BB6"/>
  <c r="BJ6"/>
  <c r="BR6"/>
  <c r="BZ6"/>
  <c r="CH6"/>
  <c r="CP6"/>
  <c r="CX6"/>
  <c r="BY6"/>
  <c r="E6"/>
  <c r="M6"/>
  <c r="U6"/>
  <c r="AC6"/>
  <c r="AK6"/>
  <c r="AS6"/>
  <c r="BA6"/>
  <c r="BI6"/>
  <c r="BQ6"/>
  <c r="CO6"/>
  <c r="D6"/>
  <c r="L6"/>
  <c r="T6"/>
  <c r="AB6"/>
  <c r="AJ6"/>
  <c r="AR6"/>
  <c r="AZ6"/>
  <c r="BH6"/>
  <c r="BP6"/>
  <c r="BX6"/>
  <c r="CF6"/>
  <c r="CM6"/>
  <c r="C6"/>
  <c r="K6"/>
  <c r="S6"/>
  <c r="AA6"/>
  <c r="AI6"/>
  <c r="AQ6"/>
  <c r="AY6"/>
  <c r="BG6"/>
  <c r="BO6"/>
  <c r="BW6"/>
  <c r="CE6"/>
  <c r="AC1" i="1" l="1"/>
  <c r="AA5" i="9" s="1"/>
  <c r="F1" i="1"/>
  <c r="D5" i="9" s="1"/>
  <c r="G1" i="1"/>
  <c r="E5" i="9" s="1"/>
  <c r="H1" i="1"/>
  <c r="F5" i="9" s="1"/>
  <c r="I1" i="1"/>
  <c r="G5" i="9" s="1"/>
  <c r="J1" i="1"/>
  <c r="H5" i="9" s="1"/>
  <c r="K1" i="1"/>
  <c r="I5" i="9" s="1"/>
  <c r="L1" i="1"/>
  <c r="J5" i="9" s="1"/>
  <c r="M1" i="1"/>
  <c r="K5" i="9" s="1"/>
  <c r="N1" i="1"/>
  <c r="L5" i="9" s="1"/>
  <c r="O1" i="1"/>
  <c r="M5" i="9" s="1"/>
  <c r="P1" i="1"/>
  <c r="N5" i="9" s="1"/>
  <c r="Q1" i="1"/>
  <c r="O5" i="9" s="1"/>
  <c r="R1" i="1"/>
  <c r="P5" i="9" s="1"/>
  <c r="S1" i="1"/>
  <c r="Q5" i="9" s="1"/>
  <c r="T1" i="1"/>
  <c r="R5" i="9" s="1"/>
  <c r="U1" i="1"/>
  <c r="S5" i="9" s="1"/>
  <c r="V1" i="1"/>
  <c r="T5" i="9" s="1"/>
  <c r="W1" i="1"/>
  <c r="U5" i="9" s="1"/>
  <c r="X1" i="1"/>
  <c r="V5" i="9" s="1"/>
  <c r="Y1" i="1"/>
  <c r="W5" i="9" s="1"/>
  <c r="AA1" i="1"/>
  <c r="Y5" i="9" s="1"/>
  <c r="AB1" i="1"/>
  <c r="Z5" i="9" s="1"/>
  <c r="AD1" i="1"/>
  <c r="AB5" i="9" s="1"/>
  <c r="AE1" i="1"/>
  <c r="AC5" i="9" s="1"/>
  <c r="AF1" i="1"/>
  <c r="AD5" i="9" s="1"/>
  <c r="AG1" i="1"/>
  <c r="AE5" i="9" s="1"/>
  <c r="AH1" i="1"/>
  <c r="AF5" i="9" s="1"/>
  <c r="AI1" i="1"/>
  <c r="AG5" i="9" s="1"/>
  <c r="AJ1" i="1"/>
  <c r="AH5" i="9" s="1"/>
  <c r="AK1" i="1"/>
  <c r="AI5" i="9" s="1"/>
  <c r="AL1" i="1"/>
  <c r="AJ5" i="9" s="1"/>
  <c r="AM1" i="1"/>
  <c r="AK5" i="9" s="1"/>
  <c r="AN1" i="1"/>
  <c r="AL5" i="9" s="1"/>
  <c r="AO1" i="1"/>
  <c r="AM5" i="9" s="1"/>
  <c r="AP1" i="1"/>
  <c r="AN5" i="9" s="1"/>
  <c r="AQ1" i="1"/>
  <c r="AO5" i="9" s="1"/>
  <c r="AR1" i="1"/>
  <c r="AP5" i="9" s="1"/>
  <c r="C1" i="1"/>
  <c r="D1"/>
  <c r="B5" i="9" s="1"/>
  <c r="E1" i="1"/>
  <c r="AS1"/>
  <c r="AQ5" i="9" s="1"/>
  <c r="C1" i="11"/>
  <c r="AT1" i="1"/>
  <c r="AR5" i="9" s="1"/>
  <c r="AU1" i="1"/>
  <c r="AS5" i="9" s="1"/>
  <c r="AV1" i="1"/>
  <c r="AT5" i="9" s="1"/>
  <c r="AW1" i="1"/>
  <c r="AU5" i="9" s="1"/>
  <c r="AX1" i="1"/>
  <c r="AV5" i="9" s="1"/>
  <c r="AY1" i="1"/>
  <c r="AW5" i="9" s="1"/>
  <c r="AZ1" i="1"/>
  <c r="AX5" i="9" s="1"/>
  <c r="BA1" i="1"/>
  <c r="AY5" i="9" s="1"/>
  <c r="BB1" i="1"/>
  <c r="AZ5" i="9" s="1"/>
  <c r="BC1" i="1"/>
  <c r="BA5" i="9" s="1"/>
  <c r="BD1" i="1"/>
  <c r="BB5" i="9" s="1"/>
  <c r="BE1" i="1"/>
  <c r="BC5" i="9" s="1"/>
  <c r="BF1" i="1"/>
  <c r="BD5" i="9" s="1"/>
  <c r="BG1" i="1"/>
  <c r="BE5" i="9" s="1"/>
  <c r="BH1" i="1"/>
  <c r="BF5" i="9" s="1"/>
  <c r="BI1" i="1"/>
  <c r="BG5" i="9" s="1"/>
  <c r="BJ1" i="1"/>
  <c r="BH5" i="9" s="1"/>
  <c r="BK1" i="1"/>
  <c r="BI5" i="9" s="1"/>
  <c r="BL1" i="1"/>
  <c r="BJ5" i="9" s="1"/>
  <c r="BM1" i="1"/>
  <c r="BK5" i="9" s="1"/>
  <c r="BN1" i="1"/>
  <c r="BL5" i="9" s="1"/>
  <c r="BO1" i="1"/>
  <c r="BM5" i="9" s="1"/>
  <c r="BP1" i="1"/>
  <c r="BN5" i="9" s="1"/>
  <c r="BQ1" i="1"/>
  <c r="BO5" i="9" s="1"/>
  <c r="BR1" i="1"/>
  <c r="BP5" i="9" s="1"/>
  <c r="BS1" i="1"/>
  <c r="BQ5" i="9" s="1"/>
  <c r="BT1" i="1"/>
  <c r="BR5" i="9" s="1"/>
  <c r="BU1" i="1"/>
  <c r="BS5" i="9" s="1"/>
  <c r="BV1" i="1"/>
  <c r="BT5" i="9" s="1"/>
  <c r="BW1" i="1"/>
  <c r="BU5" i="9" s="1"/>
  <c r="BX1" i="1"/>
  <c r="BV5" i="9" s="1"/>
  <c r="BY1" i="1"/>
  <c r="BW5" i="9" s="1"/>
  <c r="BZ1" i="1"/>
  <c r="BX5" i="9" s="1"/>
  <c r="CA1" i="1"/>
  <c r="BY5" i="9" s="1"/>
  <c r="CB1" i="1"/>
  <c r="BZ5" i="9" s="1"/>
  <c r="CC1" i="1"/>
  <c r="CA5" i="9" s="1"/>
  <c r="CD1" i="1"/>
  <c r="CB5" i="9" s="1"/>
  <c r="CE1" i="1"/>
  <c r="CC5" i="9" s="1"/>
  <c r="CF1" i="1"/>
  <c r="CD5" i="9" s="1"/>
  <c r="CG1" i="1"/>
  <c r="CE5" i="9" s="1"/>
  <c r="CH1" i="1"/>
  <c r="CF5" i="9" s="1"/>
  <c r="CI1" i="1"/>
  <c r="CG5" i="9" s="1"/>
  <c r="CJ1" i="1"/>
  <c r="CH5" i="9" s="1"/>
  <c r="CK1" i="1"/>
  <c r="CI5" i="9" s="1"/>
  <c r="CL1" i="1"/>
  <c r="CJ5" i="9" s="1"/>
  <c r="CM1" i="1"/>
  <c r="CK5" i="9" s="1"/>
  <c r="CN1" i="1"/>
  <c r="CL5" i="9" s="1"/>
  <c r="CO1" i="1"/>
  <c r="CM5" i="9" s="1"/>
  <c r="CP1" i="1"/>
  <c r="CN5" i="9" s="1"/>
  <c r="CQ1" i="1"/>
  <c r="CO5" i="9" s="1"/>
  <c r="CR1" i="1"/>
  <c r="CP5" i="9" s="1"/>
  <c r="CS1" i="1"/>
  <c r="CQ5" i="9" s="1"/>
  <c r="CT1" i="1"/>
  <c r="CR5" i="9" s="1"/>
  <c r="CU1" i="1"/>
  <c r="CS5" i="9" s="1"/>
  <c r="CV1" i="1"/>
  <c r="CT5" i="9" s="1"/>
  <c r="CW1" i="1"/>
  <c r="CU5" i="9" s="1"/>
  <c r="CX1" i="1"/>
  <c r="CV5" i="9" s="1"/>
  <c r="CY1" i="1"/>
  <c r="CW5" i="9" s="1"/>
  <c r="CZ1" i="1"/>
  <c r="CX5" i="9" s="1"/>
  <c r="DA1" i="1"/>
  <c r="CY5" i="9" s="1"/>
  <c r="DB1" i="1"/>
  <c r="CZ5" i="9" s="1"/>
  <c r="DC1" i="1"/>
  <c r="DD1"/>
  <c r="C4" i="11"/>
  <c r="F8" i="2"/>
  <c r="F7"/>
  <c r="F6"/>
  <c r="F5"/>
  <c r="A5" i="9"/>
  <c r="A2" s="1"/>
  <c r="P6" i="2"/>
  <c r="K3"/>
  <c r="A6" i="9"/>
  <c r="A9"/>
  <c r="C9"/>
  <c r="D9"/>
  <c r="B9"/>
  <c r="L3" i="2" l="1"/>
  <c r="C5" i="9"/>
  <c r="C31" i="11"/>
  <c r="C8"/>
  <c r="C42"/>
  <c r="C27"/>
  <c r="C12"/>
  <c r="C39"/>
  <c r="C16"/>
  <c r="D16" s="1"/>
  <c r="C9"/>
  <c r="C35"/>
  <c r="C20"/>
  <c r="C14"/>
  <c r="C24"/>
  <c r="C17"/>
  <c r="C43"/>
  <c r="C28"/>
  <c r="D28" s="1"/>
  <c r="C5"/>
  <c r="C32"/>
  <c r="C25"/>
  <c r="C22"/>
  <c r="C36"/>
  <c r="C13"/>
  <c r="C40"/>
  <c r="C33"/>
  <c r="D33" s="1"/>
  <c r="C10"/>
  <c r="D10" s="1"/>
  <c r="C44"/>
  <c r="D44" s="1"/>
  <c r="C21"/>
  <c r="C7"/>
  <c r="C41"/>
  <c r="C18"/>
  <c r="C30"/>
  <c r="C29"/>
  <c r="C15"/>
  <c r="D15" s="1"/>
  <c r="C6"/>
  <c r="C26"/>
  <c r="C11"/>
  <c r="C37"/>
  <c r="C23"/>
  <c r="C38"/>
  <c r="C34"/>
  <c r="D34" s="1"/>
  <c r="C19"/>
  <c r="D12"/>
  <c r="D20"/>
  <c r="D36"/>
  <c r="D11"/>
  <c r="D19"/>
  <c r="D27"/>
  <c r="D35"/>
  <c r="D43"/>
  <c r="D18"/>
  <c r="D26"/>
  <c r="D42"/>
  <c r="D9"/>
  <c r="D17"/>
  <c r="D25"/>
  <c r="D41"/>
  <c r="D8"/>
  <c r="D24"/>
  <c r="D32"/>
  <c r="D40"/>
  <c r="D7"/>
  <c r="D23"/>
  <c r="D31"/>
  <c r="D39"/>
  <c r="D6"/>
  <c r="D14"/>
  <c r="D22"/>
  <c r="D30"/>
  <c r="D38"/>
  <c r="D5"/>
  <c r="D13"/>
  <c r="D21"/>
  <c r="D29"/>
  <c r="D37"/>
  <c r="D4"/>
  <c r="C2" i="9"/>
</calcChain>
</file>

<file path=xl/sharedStrings.xml><?xml version="1.0" encoding="utf-8"?>
<sst xmlns="http://schemas.openxmlformats.org/spreadsheetml/2006/main" count="169" uniqueCount="162">
  <si>
    <t>x</t>
  </si>
  <si>
    <t>Req'd</t>
  </si>
  <si>
    <t>Test</t>
  </si>
  <si>
    <t>HIDE</t>
  </si>
  <si>
    <t>D5</t>
  </si>
  <si>
    <t>D6</t>
  </si>
  <si>
    <t>D7</t>
  </si>
  <si>
    <t>D8</t>
  </si>
  <si>
    <t>D9</t>
  </si>
  <si>
    <t>D10</t>
  </si>
  <si>
    <t>Field</t>
  </si>
  <si>
    <t>Column</t>
  </si>
  <si>
    <t>Value</t>
  </si>
  <si>
    <t>Start Column</t>
  </si>
  <si>
    <t>DB Row</t>
  </si>
  <si>
    <t>Mandatory Field Check</t>
  </si>
  <si>
    <t>Mand Fields</t>
  </si>
  <si>
    <t>Musim</t>
  </si>
  <si>
    <t>Bulan</t>
  </si>
  <si>
    <t>Tanggal Panen</t>
  </si>
  <si>
    <t>Bawang Daun</t>
  </si>
  <si>
    <t>Bawang Merah</t>
  </si>
  <si>
    <t>Bayam Hijau</t>
  </si>
  <si>
    <t>Bayam Merah</t>
  </si>
  <si>
    <t>Brokoli</t>
  </si>
  <si>
    <t>Bumbu Dapur</t>
  </si>
  <si>
    <t>Buncis</t>
  </si>
  <si>
    <t>Cabe Hijau Besar</t>
  </si>
  <si>
    <t>Cabe Merah Besar</t>
  </si>
  <si>
    <t>Daun Jeruk</t>
  </si>
  <si>
    <t>Jagung Semi</t>
  </si>
  <si>
    <t>Jahe</t>
  </si>
  <si>
    <t>Jahe Muda</t>
  </si>
  <si>
    <t>Jeruk Lemon</t>
  </si>
  <si>
    <t>Kacang Bulu</t>
  </si>
  <si>
    <t>Kacang Merah</t>
  </si>
  <si>
    <t>Kacang Panjang</t>
  </si>
  <si>
    <t>Kangkung</t>
  </si>
  <si>
    <t>Kiciwis</t>
  </si>
  <si>
    <t>Kunyit</t>
  </si>
  <si>
    <t>Labu Siam</t>
  </si>
  <si>
    <t>Lengkuas</t>
  </si>
  <si>
    <t>Mentimun</t>
  </si>
  <si>
    <t>Pakcoy</t>
  </si>
  <si>
    <t>Petsai</t>
  </si>
  <si>
    <t>Selada Hijau</t>
  </si>
  <si>
    <t>Selada Merah</t>
  </si>
  <si>
    <t>Seledri</t>
  </si>
  <si>
    <t>Sereh</t>
  </si>
  <si>
    <t>Sosin</t>
  </si>
  <si>
    <t>Tomat</t>
  </si>
  <si>
    <t>Wortel</t>
  </si>
  <si>
    <t>User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</si>
  <si>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</si>
  <si>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</si>
  <si>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</si>
  <si>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</si>
  <si>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</si>
  <si>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</si>
  <si>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</si>
  <si>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</si>
  <si>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</si>
  <si>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</si>
  <si>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</si>
  <si>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</si>
  <si>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</si>
  <si>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</si>
  <si>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</si>
  <si>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</si>
  <si>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</si>
  <si>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</si>
  <si>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</si>
  <si>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</si>
  <si>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</si>
  <si>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</si>
  <si>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</si>
  <si>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</si>
  <si>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</si>
  <si>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</si>
  <si>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</si>
  <si>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</si>
  <si>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</si>
  <si>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</si>
  <si>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</si>
  <si>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</si>
  <si>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</si>
  <si>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</si>
  <si>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</si>
  <si>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</si>
  <si>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</si>
  <si>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</si>
  <si>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</si>
  <si>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</si>
  <si>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</si>
  <si>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</si>
  <si>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</si>
  <si>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</si>
  <si>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</si>
  <si>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</si>
  <si>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</si>
  <si>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</si>
  <si>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</si>
  <si>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</si>
  <si>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</si>
  <si>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</si>
  <si>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</si>
  <si>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</si>
  <si>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</si>
  <si>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</si>
  <si>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</si>
  <si>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</si>
  <si>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</si>
  <si>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</si>
  <si>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</si>
  <si>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</si>
  <si>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</si>
  <si>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</si>
  <si>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</si>
  <si>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</si>
  <si>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</si>
  <si>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</si>
  <si>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</si>
  <si>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D80</t>
  </si>
  <si>
    <t>D81</t>
  </si>
  <si>
    <t>D82</t>
  </si>
  <si>
    <t>D83</t>
  </si>
  <si>
    <t>D84</t>
  </si>
  <si>
    <t>D85</t>
  </si>
  <si>
    <t>D86</t>
  </si>
  <si>
    <t>D87</t>
  </si>
  <si>
    <t>D88</t>
  </si>
  <si>
    <t>D89</t>
  </si>
  <si>
    <t>D90</t>
  </si>
  <si>
    <t>D91</t>
  </si>
  <si>
    <t>D92</t>
  </si>
  <si>
    <t>D93</t>
  </si>
  <si>
    <t>D94</t>
  </si>
  <si>
    <t>D95</t>
  </si>
  <si>
    <t>D96</t>
  </si>
  <si>
    <t>D97</t>
  </si>
  <si>
    <t>D98</t>
  </si>
  <si>
    <t>D99</t>
  </si>
  <si>
    <t>D100</t>
  </si>
  <si>
    <t>D101</t>
  </si>
  <si>
    <t>D102</t>
  </si>
  <si>
    <t>D103</t>
  </si>
  <si>
    <t>D104</t>
  </si>
  <si>
    <t>D105</t>
  </si>
  <si>
    <t>D106</t>
  </si>
  <si>
    <t>D107</t>
  </si>
  <si>
    <t>D108</t>
  </si>
  <si>
    <t>Waktu Lema</t>
  </si>
  <si>
    <t>Pelema</t>
  </si>
  <si>
    <t>Musim II</t>
  </si>
  <si>
    <t>Daun Singkong</t>
  </si>
  <si>
    <t>Nangka Muda</t>
  </si>
  <si>
    <t>Kacang Endul</t>
  </si>
  <si>
    <t>Kentang</t>
  </si>
  <si>
    <t>Kol</t>
  </si>
  <si>
    <t>Kecipir</t>
  </si>
  <si>
    <t>Data Stok Panen Sayuran Organik</t>
  </si>
  <si>
    <t>Lihat Data</t>
  </si>
</sst>
</file>

<file path=xl/styles.xml><?xml version="1.0" encoding="utf-8"?>
<styleSheet xmlns="http://schemas.openxmlformats.org/spreadsheetml/2006/main">
  <numFmts count="4">
    <numFmt numFmtId="164" formatCode="_(&quot;$&quot;* #,##0.00_);_(&quot;$&quot;* \(#,##0.00\);_(&quot;$&quot;* &quot;-&quot;??_);_(@_)"/>
    <numFmt numFmtId="165" formatCode="mm/dd/yyyy\ hh:mm:ss"/>
    <numFmt numFmtId="166" formatCode="mmmm\ yyyy"/>
    <numFmt numFmtId="167" formatCode="[$-F800]dddd\,\ mmmm\ dd\,\ yyyy"/>
  </numFmts>
  <fonts count="33">
    <font>
      <sz val="12"/>
      <name val="Arial Narrow"/>
    </font>
    <font>
      <sz val="12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indexed="12"/>
      <name val="Arial Narrow"/>
      <family val="2"/>
    </font>
    <font>
      <sz val="10"/>
      <name val="Arial"/>
      <family val="2"/>
    </font>
    <font>
      <u/>
      <sz val="11"/>
      <color indexed="12"/>
      <name val="Calibri"/>
      <family val="2"/>
      <scheme val="minor"/>
    </font>
    <font>
      <u/>
      <sz val="11"/>
      <color theme="10"/>
      <name val="Arial Narrow"/>
      <family val="2"/>
    </font>
    <font>
      <b/>
      <sz val="9"/>
      <name val="Kartika"/>
      <family val="1"/>
    </font>
    <font>
      <sz val="9"/>
      <name val="Kartika"/>
      <family val="1"/>
    </font>
    <font>
      <sz val="9"/>
      <color indexed="12"/>
      <name val="Kartika"/>
      <family val="1"/>
    </font>
    <font>
      <b/>
      <sz val="9"/>
      <color rgb="FFFF0000"/>
      <name val="Kartika"/>
      <family val="1"/>
    </font>
    <font>
      <sz val="9"/>
      <color theme="0"/>
      <name val="Kartika"/>
      <family val="1"/>
    </font>
    <font>
      <sz val="12"/>
      <color theme="0"/>
      <name val="Arial Narrow"/>
      <family val="2"/>
    </font>
    <font>
      <b/>
      <sz val="10"/>
      <name val="Kartika"/>
      <family val="1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rgb="FFE1F7EA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3" tint="0.79998168889431442"/>
      </left>
      <right style="double">
        <color theme="3" tint="0.79998168889431442"/>
      </right>
      <top style="double">
        <color theme="3" tint="0.79998168889431442"/>
      </top>
      <bottom style="double">
        <color theme="3" tint="0.79998168889431442"/>
      </bottom>
      <diagonal/>
    </border>
    <border>
      <left style="double">
        <color theme="3" tint="0.79998168889431442"/>
      </left>
      <right style="double">
        <color theme="3" tint="0.79995117038483843"/>
      </right>
      <top style="double">
        <color theme="3" tint="0.79998168889431442"/>
      </top>
      <bottom style="double">
        <color theme="3" tint="0.79998168889431442"/>
      </bottom>
      <diagonal/>
    </border>
    <border>
      <left style="double">
        <color theme="3" tint="0.79995117038483843"/>
      </left>
      <right style="double">
        <color theme="3" tint="0.79995117038483843"/>
      </right>
      <top style="double">
        <color theme="3" tint="0.79998168889431442"/>
      </top>
      <bottom style="double">
        <color theme="3" tint="0.79998168889431442"/>
      </bottom>
      <diagonal/>
    </border>
    <border>
      <left style="double">
        <color theme="3" tint="0.79995117038483843"/>
      </left>
      <right style="double">
        <color theme="3" tint="0.79998168889431442"/>
      </right>
      <top style="double">
        <color theme="3" tint="0.79998168889431442"/>
      </top>
      <bottom style="double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0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24" fillId="0" borderId="0" applyNumberFormat="0" applyFill="0" applyBorder="0" applyAlignment="0" applyProtection="0">
      <alignment horizontal="left" indent="1"/>
    </xf>
    <xf numFmtId="164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3" fillId="0" borderId="0"/>
    <xf numFmtId="0" fontId="4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67">
    <xf numFmtId="0" fontId="0" fillId="0" borderId="0" xfId="0"/>
    <xf numFmtId="0" fontId="4" fillId="0" borderId="0" xfId="0" applyFont="1"/>
    <xf numFmtId="0" fontId="0" fillId="0" borderId="0" xfId="0" applyAlignment="1">
      <alignment horizontal="center"/>
    </xf>
    <xf numFmtId="0" fontId="27" fillId="0" borderId="0" xfId="0" applyFont="1"/>
    <xf numFmtId="0" fontId="26" fillId="24" borderId="0" xfId="0" applyFont="1" applyFill="1" applyAlignment="1">
      <alignment horizontal="center"/>
    </xf>
    <xf numFmtId="0" fontId="27" fillId="0" borderId="0" xfId="0" applyFont="1" applyFill="1"/>
    <xf numFmtId="0" fontId="27" fillId="0" borderId="0" xfId="0" applyFont="1" applyFill="1" applyAlignment="1">
      <alignment horizontal="center"/>
    </xf>
    <xf numFmtId="0" fontId="27" fillId="24" borderId="0" xfId="0" applyFont="1" applyFill="1" applyAlignment="1">
      <alignment horizontal="center"/>
    </xf>
    <xf numFmtId="0" fontId="26" fillId="0" borderId="0" xfId="0" applyFont="1" applyFill="1" applyAlignment="1">
      <alignment horizontal="right"/>
    </xf>
    <xf numFmtId="0" fontId="27" fillId="0" borderId="0" xfId="0" applyFont="1" applyFill="1" applyAlignment="1">
      <alignment horizontal="right"/>
    </xf>
    <xf numFmtId="0" fontId="27" fillId="0" borderId="0" xfId="0" applyFont="1" applyFill="1" applyAlignment="1">
      <alignment horizontal="left"/>
    </xf>
    <xf numFmtId="0" fontId="27" fillId="0" borderId="0" xfId="0" applyFont="1" applyFill="1" applyAlignment="1">
      <alignment horizontal="center" vertical="center"/>
    </xf>
    <xf numFmtId="0" fontId="27" fillId="0" borderId="1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6" fillId="0" borderId="0" xfId="0" applyFont="1"/>
    <xf numFmtId="165" fontId="27" fillId="0" borderId="0" xfId="0" applyNumberFormat="1" applyFont="1" applyAlignment="1">
      <alignment horizontal="center" vertical="center" wrapText="1"/>
    </xf>
    <xf numFmtId="0" fontId="29" fillId="0" borderId="0" xfId="0" applyFont="1" applyAlignment="1">
      <alignment horizontal="center"/>
    </xf>
    <xf numFmtId="22" fontId="27" fillId="0" borderId="0" xfId="0" applyNumberFormat="1" applyFont="1" applyAlignment="1">
      <alignment horizontal="center" vertical="center" wrapText="1"/>
    </xf>
    <xf numFmtId="0" fontId="26" fillId="0" borderId="0" xfId="0" applyNumberFormat="1" applyFont="1" applyAlignment="1">
      <alignment horizontal="center" vertical="center" wrapText="1"/>
    </xf>
    <xf numFmtId="0" fontId="26" fillId="0" borderId="0" xfId="0" applyNumberFormat="1" applyFont="1"/>
    <xf numFmtId="0" fontId="27" fillId="0" borderId="0" xfId="0" applyNumberFormat="1" applyFont="1" applyAlignment="1">
      <alignment horizontal="center" vertical="center" wrapText="1"/>
    </xf>
    <xf numFmtId="0" fontId="27" fillId="0" borderId="0" xfId="0" applyNumberFormat="1" applyFont="1"/>
    <xf numFmtId="166" fontId="27" fillId="0" borderId="0" xfId="0" applyNumberFormat="1" applyFont="1" applyAlignment="1">
      <alignment horizontal="center" vertical="center" wrapText="1"/>
    </xf>
    <xf numFmtId="167" fontId="27" fillId="0" borderId="0" xfId="0" applyNumberFormat="1" applyFont="1" applyAlignment="1">
      <alignment horizontal="center" vertical="center" wrapText="1"/>
    </xf>
    <xf numFmtId="22" fontId="26" fillId="0" borderId="0" xfId="0" applyNumberFormat="1" applyFont="1" applyAlignment="1">
      <alignment horizontal="center" vertical="center" wrapText="1"/>
    </xf>
    <xf numFmtId="0" fontId="27" fillId="0" borderId="0" xfId="0" applyNumberFormat="1" applyFont="1" applyAlignment="1">
      <alignment horizontal="center" vertical="center"/>
    </xf>
    <xf numFmtId="0" fontId="27" fillId="0" borderId="0" xfId="0" applyFont="1" applyFill="1" applyAlignment="1">
      <alignment horizontal="left" vertical="center" indent="1"/>
    </xf>
    <xf numFmtId="0" fontId="27" fillId="0" borderId="0" xfId="0" applyFont="1" applyFill="1" applyAlignment="1">
      <alignment vertical="center"/>
    </xf>
    <xf numFmtId="0" fontId="28" fillId="0" borderId="0" xfId="0" applyFont="1" applyFill="1" applyAlignment="1">
      <alignment vertical="center"/>
    </xf>
    <xf numFmtId="0" fontId="27" fillId="0" borderId="0" xfId="0" applyFont="1" applyFill="1" applyAlignment="1">
      <alignment horizontal="right" vertical="center"/>
    </xf>
    <xf numFmtId="0" fontId="26" fillId="0" borderId="0" xfId="0" applyNumberFormat="1" applyFont="1" applyAlignment="1">
      <alignment horizontal="center" vertical="center"/>
    </xf>
    <xf numFmtId="0" fontId="26" fillId="0" borderId="0" xfId="0" applyFont="1" applyFill="1" applyBorder="1" applyAlignment="1">
      <alignment horizontal="right"/>
    </xf>
    <xf numFmtId="0" fontId="27" fillId="0" borderId="0" xfId="0" applyFont="1" applyFill="1" applyBorder="1"/>
    <xf numFmtId="1" fontId="27" fillId="0" borderId="0" xfId="0" applyNumberFormat="1" applyFont="1" applyFill="1" applyBorder="1" applyAlignment="1" applyProtection="1">
      <alignment horizontal="left" indent="1"/>
      <protection locked="0"/>
    </xf>
    <xf numFmtId="0" fontId="27" fillId="0" borderId="0" xfId="0" applyFont="1" applyAlignment="1">
      <alignment horizontal="right"/>
    </xf>
    <xf numFmtId="0" fontId="27" fillId="0" borderId="0" xfId="0" applyFont="1" applyAlignment="1">
      <alignment horizontal="right" vertical="center"/>
    </xf>
    <xf numFmtId="0" fontId="30" fillId="26" borderId="11" xfId="0" applyFont="1" applyFill="1" applyBorder="1" applyAlignment="1">
      <alignment horizontal="center" vertical="center"/>
    </xf>
    <xf numFmtId="0" fontId="27" fillId="0" borderId="12" xfId="0" applyFont="1" applyBorder="1" applyAlignment="1">
      <alignment horizontal="center"/>
    </xf>
    <xf numFmtId="0" fontId="27" fillId="0" borderId="13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49" fontId="27" fillId="0" borderId="12" xfId="0" applyNumberFormat="1" applyFont="1" applyBorder="1" applyAlignment="1">
      <alignment horizontal="center"/>
    </xf>
    <xf numFmtId="49" fontId="27" fillId="0" borderId="13" xfId="0" applyNumberFormat="1" applyFont="1" applyBorder="1" applyAlignment="1">
      <alignment horizontal="center"/>
    </xf>
    <xf numFmtId="49" fontId="27" fillId="0" borderId="14" xfId="0" applyNumberFormat="1" applyFont="1" applyBorder="1" applyAlignment="1">
      <alignment horizontal="center"/>
    </xf>
    <xf numFmtId="0" fontId="0" fillId="0" borderId="0" xfId="0" applyBorder="1"/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11" xfId="0" applyFont="1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left"/>
    </xf>
    <xf numFmtId="0" fontId="31" fillId="26" borderId="11" xfId="0" applyFont="1" applyFill="1" applyBorder="1" applyAlignment="1">
      <alignment horizontal="center"/>
    </xf>
    <xf numFmtId="0" fontId="27" fillId="25" borderId="15" xfId="0" applyFont="1" applyFill="1" applyBorder="1" applyAlignment="1">
      <alignment horizontal="center"/>
    </xf>
    <xf numFmtId="0" fontId="27" fillId="0" borderId="11" xfId="0" applyNumberFormat="1" applyFont="1" applyFill="1" applyBorder="1" applyAlignment="1" applyProtection="1">
      <alignment horizontal="left" vertical="center" indent="1"/>
      <protection locked="0"/>
    </xf>
    <xf numFmtId="166" fontId="27" fillId="0" borderId="11" xfId="0" applyNumberFormat="1" applyFont="1" applyFill="1" applyBorder="1" applyAlignment="1" applyProtection="1">
      <alignment horizontal="left" vertical="center" indent="1"/>
      <protection locked="0"/>
    </xf>
    <xf numFmtId="167" fontId="27" fillId="0" borderId="11" xfId="0" applyNumberFormat="1" applyFont="1" applyFill="1" applyBorder="1" applyAlignment="1" applyProtection="1">
      <alignment horizontal="left" vertical="center" indent="1"/>
      <protection locked="0"/>
    </xf>
    <xf numFmtId="0" fontId="27" fillId="0" borderId="11" xfId="29" applyNumberFormat="1" applyFont="1" applyFill="1" applyBorder="1" applyAlignment="1" applyProtection="1">
      <alignment horizontal="left" vertical="center" indent="1"/>
    </xf>
    <xf numFmtId="0" fontId="27" fillId="0" borderId="11" xfId="0" applyFont="1" applyFill="1" applyBorder="1" applyAlignment="1">
      <alignment horizontal="left" vertical="center" indent="1"/>
    </xf>
    <xf numFmtId="0" fontId="32" fillId="0" borderId="0" xfId="0" applyFont="1" applyFill="1" applyAlignment="1">
      <alignment horizontal="center" vertical="center" wrapText="1"/>
    </xf>
    <xf numFmtId="167" fontId="30" fillId="26" borderId="11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30" fillId="0" borderId="0" xfId="0" applyFont="1" applyFill="1" applyBorder="1" applyAlignment="1" applyProtection="1">
      <alignment horizontal="right"/>
      <protection locked="0"/>
    </xf>
    <xf numFmtId="0" fontId="30" fillId="0" borderId="0" xfId="0" applyFont="1" applyFill="1" applyBorder="1" applyAlignment="1">
      <alignment horizontal="left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>
      <alignment horizontal="left" indent="1"/>
    </xf>
  </cellXfs>
  <cellStyles count="5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tx_Hyperlink" xfId="28"/>
    <cellStyle name="Currency" xfId="29" builtinId="4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 2" xfId="36"/>
    <cellStyle name="Hyperlink 2 2" xfId="37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/>
    <cellStyle name="Normal 2 2" xfId="42"/>
    <cellStyle name="Normal 2 3 2" xfId="43"/>
    <cellStyle name="Normal 3" xfId="44"/>
    <cellStyle name="Note" xfId="45" builtinId="10" customBuiltin="1"/>
    <cellStyle name="Output" xfId="46" builtinId="21" customBuiltin="1"/>
    <cellStyle name="Title" xfId="47" builtinId="15" customBuiltin="1"/>
    <cellStyle name="Total" xfId="48" builtinId="25" customBuiltin="1"/>
    <cellStyle name="Warning Text" xfId="49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DDDDD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1F7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400050</xdr:colOff>
      <xdr:row>0</xdr:row>
      <xdr:rowOff>114300</xdr:rowOff>
    </xdr:from>
    <xdr:to>
      <xdr:col>2</xdr:col>
      <xdr:colOff>14017</xdr:colOff>
      <xdr:row>3</xdr:row>
      <xdr:rowOff>28575</xdr:rowOff>
    </xdr:to>
    <xdr:pic>
      <xdr:nvPicPr>
        <xdr:cNvPr id="4" name="Picture 3" descr="Logo Selaras Semest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4350" y="114300"/>
          <a:ext cx="2252392" cy="942975"/>
        </a:xfrm>
        <a:prstGeom prst="rect">
          <a:avLst/>
        </a:prstGeom>
      </xdr:spPr>
    </xdr:pic>
    <xdr:clientData/>
  </xdr:twoCellAnchor>
  <xdr:twoCellAnchor>
    <xdr:from>
      <xdr:col>7</xdr:col>
      <xdr:colOff>581025</xdr:colOff>
      <xdr:row>8</xdr:row>
      <xdr:rowOff>200026</xdr:rowOff>
    </xdr:from>
    <xdr:to>
      <xdr:col>9</xdr:col>
      <xdr:colOff>266700</xdr:colOff>
      <xdr:row>9</xdr:row>
      <xdr:rowOff>209551</xdr:rowOff>
    </xdr:to>
    <xdr:sp macro="[0]!ViewLogFirst" textlink="">
      <xdr:nvSpPr>
        <xdr:cNvPr id="6" name="Rounded Rectangle 5"/>
        <xdr:cNvSpPr/>
      </xdr:nvSpPr>
      <xdr:spPr>
        <a:xfrm>
          <a:off x="5010150" y="2276476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7</a:t>
          </a:r>
        </a:p>
      </xdr:txBody>
    </xdr:sp>
    <xdr:clientData/>
  </xdr:twoCellAnchor>
  <xdr:twoCellAnchor>
    <xdr:from>
      <xdr:col>9</xdr:col>
      <xdr:colOff>342900</xdr:colOff>
      <xdr:row>8</xdr:row>
      <xdr:rowOff>200026</xdr:rowOff>
    </xdr:from>
    <xdr:to>
      <xdr:col>9</xdr:col>
      <xdr:colOff>723900</xdr:colOff>
      <xdr:row>9</xdr:row>
      <xdr:rowOff>209551</xdr:rowOff>
    </xdr:to>
    <xdr:sp macro="[0]!ViewLogDown" textlink="">
      <xdr:nvSpPr>
        <xdr:cNvPr id="7" name="Rounded Rectangle 6"/>
        <xdr:cNvSpPr/>
      </xdr:nvSpPr>
      <xdr:spPr>
        <a:xfrm>
          <a:off x="5467350" y="2276476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3</a:t>
          </a:r>
        </a:p>
      </xdr:txBody>
    </xdr:sp>
    <xdr:clientData/>
  </xdr:twoCellAnchor>
  <xdr:twoCellAnchor>
    <xdr:from>
      <xdr:col>9</xdr:col>
      <xdr:colOff>800100</xdr:colOff>
      <xdr:row>8</xdr:row>
      <xdr:rowOff>200026</xdr:rowOff>
    </xdr:from>
    <xdr:to>
      <xdr:col>9</xdr:col>
      <xdr:colOff>1181100</xdr:colOff>
      <xdr:row>9</xdr:row>
      <xdr:rowOff>209551</xdr:rowOff>
    </xdr:to>
    <xdr:sp macro="[0]!ViewLogUp" textlink="">
      <xdr:nvSpPr>
        <xdr:cNvPr id="8" name="Rounded Rectangle 7"/>
        <xdr:cNvSpPr/>
      </xdr:nvSpPr>
      <xdr:spPr>
        <a:xfrm>
          <a:off x="5924550" y="2276476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4</a:t>
          </a:r>
        </a:p>
      </xdr:txBody>
    </xdr:sp>
    <xdr:clientData/>
  </xdr:twoCellAnchor>
  <xdr:twoCellAnchor>
    <xdr:from>
      <xdr:col>9</xdr:col>
      <xdr:colOff>1257300</xdr:colOff>
      <xdr:row>8</xdr:row>
      <xdr:rowOff>200026</xdr:rowOff>
    </xdr:from>
    <xdr:to>
      <xdr:col>10</xdr:col>
      <xdr:colOff>114300</xdr:colOff>
      <xdr:row>9</xdr:row>
      <xdr:rowOff>209551</xdr:rowOff>
    </xdr:to>
    <xdr:sp macro="[0]!ViewLogLast" textlink="">
      <xdr:nvSpPr>
        <xdr:cNvPr id="9" name="Rounded Rectangle 8"/>
        <xdr:cNvSpPr/>
      </xdr:nvSpPr>
      <xdr:spPr>
        <a:xfrm>
          <a:off x="6381750" y="2276476"/>
          <a:ext cx="381000" cy="238125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Webdings" panose="05030102010509060703" pitchFamily="18" charset="2"/>
            </a:rPr>
            <a:t>8</a:t>
          </a:r>
        </a:p>
      </xdr:txBody>
    </xdr:sp>
    <xdr:clientData/>
  </xdr:twoCellAnchor>
  <xdr:twoCellAnchor>
    <xdr:from>
      <xdr:col>7</xdr:col>
      <xdr:colOff>581025</xdr:colOff>
      <xdr:row>10</xdr:row>
      <xdr:rowOff>85726</xdr:rowOff>
    </xdr:from>
    <xdr:to>
      <xdr:col>9</xdr:col>
      <xdr:colOff>267300</xdr:colOff>
      <xdr:row>11</xdr:row>
      <xdr:rowOff>94726</xdr:rowOff>
    </xdr:to>
    <xdr:sp macro="[0]!UpdateLogRecord" textlink="">
      <xdr:nvSpPr>
        <xdr:cNvPr id="10" name="Rounded Rectangle 9"/>
        <xdr:cNvSpPr/>
      </xdr:nvSpPr>
      <xdr:spPr>
        <a:xfrm>
          <a:off x="5010150" y="2619376"/>
          <a:ext cx="381600" cy="237600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Kartika" pitchFamily="18" charset="0"/>
              <a:cs typeface="Kartika" pitchFamily="18" charset="0"/>
            </a:rPr>
            <a:t>+</a:t>
          </a:r>
        </a:p>
      </xdr:txBody>
    </xdr:sp>
    <xdr:clientData/>
  </xdr:twoCellAnchor>
  <xdr:twoCellAnchor>
    <xdr:from>
      <xdr:col>9</xdr:col>
      <xdr:colOff>1257300</xdr:colOff>
      <xdr:row>10</xdr:row>
      <xdr:rowOff>66676</xdr:rowOff>
    </xdr:from>
    <xdr:to>
      <xdr:col>10</xdr:col>
      <xdr:colOff>114900</xdr:colOff>
      <xdr:row>11</xdr:row>
      <xdr:rowOff>75676</xdr:rowOff>
    </xdr:to>
    <xdr:sp macro="[0]!ClearDataEntry" textlink="">
      <xdr:nvSpPr>
        <xdr:cNvPr id="11" name="Rounded Rectangle 10"/>
        <xdr:cNvSpPr/>
      </xdr:nvSpPr>
      <xdr:spPr>
        <a:xfrm>
          <a:off x="6381750" y="2600326"/>
          <a:ext cx="381600" cy="237600"/>
        </a:xfrm>
        <a:prstGeom prst="roundRect">
          <a:avLst/>
        </a:prstGeom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—</a:t>
          </a:r>
        </a:p>
      </xdr:txBody>
    </xdr:sp>
    <xdr:clientData/>
  </xdr:twoCellAnchor>
  <xdr:twoCellAnchor>
    <xdr:from>
      <xdr:col>9</xdr:col>
      <xdr:colOff>390525</xdr:colOff>
      <xdr:row>10</xdr:row>
      <xdr:rowOff>76201</xdr:rowOff>
    </xdr:from>
    <xdr:to>
      <xdr:col>9</xdr:col>
      <xdr:colOff>1146525</xdr:colOff>
      <xdr:row>11</xdr:row>
      <xdr:rowOff>85201</xdr:rowOff>
    </xdr:to>
    <xdr:sp macro="[0]!UpdateLogWorksheet" textlink="">
      <xdr:nvSpPr>
        <xdr:cNvPr id="12" name="Rounded Rectangle 11"/>
        <xdr:cNvSpPr/>
      </xdr:nvSpPr>
      <xdr:spPr>
        <a:xfrm>
          <a:off x="5514975" y="2609851"/>
          <a:ext cx="756000" cy="23760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Update</a:t>
          </a:r>
        </a:p>
      </xdr:txBody>
    </xdr:sp>
    <xdr:clientData/>
  </xdr:twoCellAnchor>
  <xdr:twoCellAnchor>
    <xdr:from>
      <xdr:col>9</xdr:col>
      <xdr:colOff>161926</xdr:colOff>
      <xdr:row>7</xdr:row>
      <xdr:rowOff>85726</xdr:rowOff>
    </xdr:from>
    <xdr:to>
      <xdr:col>9</xdr:col>
      <xdr:colOff>581026</xdr:colOff>
      <xdr:row>8</xdr:row>
      <xdr:rowOff>85726</xdr:rowOff>
    </xdr:to>
    <xdr:sp macro="" textlink="CurrRec">
      <xdr:nvSpPr>
        <xdr:cNvPr id="13" name="Rounded Rectangle 12"/>
        <xdr:cNvSpPr/>
      </xdr:nvSpPr>
      <xdr:spPr>
        <a:xfrm>
          <a:off x="5286376" y="1933576"/>
          <a:ext cx="419100" cy="228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42BF49AD-79F1-4D3D-942F-C32DFBEF8212}" type="TxLink">
            <a:rPr lang="en-US" sz="800" b="0" i="0" u="none" strike="noStrike">
              <a:solidFill>
                <a:srgbClr val="000000"/>
              </a:solidFill>
              <a:latin typeface="Kartika" panose="02020503030404060203" pitchFamily="18" charset="0"/>
              <a:cs typeface="Kartika" panose="02020503030404060203" pitchFamily="18" charset="0"/>
            </a:rPr>
            <a:pPr algn="ctr"/>
            <a:t>2</a:t>
          </a:fld>
          <a:endParaRPr lang="en-US" sz="1050">
            <a:latin typeface="Kartika" panose="02020503030404060203" pitchFamily="18" charset="0"/>
            <a:cs typeface="Kartika" panose="02020503030404060203" pitchFamily="18" charset="0"/>
          </a:endParaRPr>
        </a:p>
      </xdr:txBody>
    </xdr:sp>
    <xdr:clientData/>
  </xdr:twoCellAnchor>
  <xdr:twoCellAnchor>
    <xdr:from>
      <xdr:col>9</xdr:col>
      <xdr:colOff>514350</xdr:colOff>
      <xdr:row>7</xdr:row>
      <xdr:rowOff>85725</xdr:rowOff>
    </xdr:from>
    <xdr:to>
      <xdr:col>9</xdr:col>
      <xdr:colOff>1019175</xdr:colOff>
      <xdr:row>8</xdr:row>
      <xdr:rowOff>114300</xdr:rowOff>
    </xdr:to>
    <xdr:sp macro="" textlink="">
      <xdr:nvSpPr>
        <xdr:cNvPr id="14" name="Rounded Rectangle 13"/>
        <xdr:cNvSpPr/>
      </xdr:nvSpPr>
      <xdr:spPr>
        <a:xfrm>
          <a:off x="5638800" y="1933575"/>
          <a:ext cx="504825" cy="257175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dari</a:t>
          </a:r>
        </a:p>
      </xdr:txBody>
    </xdr:sp>
    <xdr:clientData/>
  </xdr:twoCellAnchor>
  <xdr:twoCellAnchor>
    <xdr:from>
      <xdr:col>9</xdr:col>
      <xdr:colOff>942976</xdr:colOff>
      <xdr:row>7</xdr:row>
      <xdr:rowOff>85726</xdr:rowOff>
    </xdr:from>
    <xdr:to>
      <xdr:col>9</xdr:col>
      <xdr:colOff>1362076</xdr:colOff>
      <xdr:row>8</xdr:row>
      <xdr:rowOff>85726</xdr:rowOff>
    </xdr:to>
    <xdr:sp macro="" textlink="$P$6">
      <xdr:nvSpPr>
        <xdr:cNvPr id="15" name="Rounded Rectangle 14"/>
        <xdr:cNvSpPr/>
      </xdr:nvSpPr>
      <xdr:spPr>
        <a:xfrm>
          <a:off x="6067426" y="1933576"/>
          <a:ext cx="419100" cy="228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40693D5-FE29-46EB-BF00-77D862F3349A}" type="TxLink">
            <a:rPr lang="en-US" sz="900" b="0" i="0" u="none" strike="noStrike">
              <a:solidFill>
                <a:srgbClr val="000000"/>
              </a:solidFill>
              <a:latin typeface="Kartika"/>
              <a:cs typeface="Kartika"/>
            </a:rPr>
            <a:t>2</a:t>
          </a:fld>
          <a:endParaRPr lang="en-US" sz="1050">
            <a:latin typeface="Kartika" panose="02020503030404060203" pitchFamily="18" charset="0"/>
            <a:cs typeface="Kartika" panose="02020503030404060203" pitchFamily="18" charset="0"/>
          </a:endParaRPr>
        </a:p>
      </xdr:txBody>
    </xdr:sp>
    <xdr:clientData/>
  </xdr:twoCellAnchor>
  <xdr:twoCellAnchor>
    <xdr:from>
      <xdr:col>7</xdr:col>
      <xdr:colOff>533400</xdr:colOff>
      <xdr:row>11</xdr:row>
      <xdr:rowOff>171450</xdr:rowOff>
    </xdr:from>
    <xdr:to>
      <xdr:col>10</xdr:col>
      <xdr:colOff>76200</xdr:colOff>
      <xdr:row>12</xdr:row>
      <xdr:rowOff>180450</xdr:rowOff>
    </xdr:to>
    <xdr:sp macro="[0]!GoInventory" textlink="">
      <xdr:nvSpPr>
        <xdr:cNvPr id="16" name="Rounded Rectangle 15"/>
        <xdr:cNvSpPr/>
      </xdr:nvSpPr>
      <xdr:spPr>
        <a:xfrm>
          <a:off x="4962525" y="2933700"/>
          <a:ext cx="1762125" cy="237600"/>
        </a:xfrm>
        <a:prstGeom prst="round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Kartika" panose="02020503030404060203" pitchFamily="18" charset="0"/>
              <a:cs typeface="Kartika" panose="02020503030404060203" pitchFamily="18" charset="0"/>
            </a:rPr>
            <a:t>Lihat Database</a:t>
          </a:r>
        </a:p>
      </xdr:txBody>
    </xdr:sp>
    <xdr:clientData/>
  </xdr:twoCellAnchor>
  <xdr:twoCellAnchor>
    <xdr:from>
      <xdr:col>7</xdr:col>
      <xdr:colOff>352425</xdr:colOff>
      <xdr:row>4</xdr:row>
      <xdr:rowOff>200025</xdr:rowOff>
    </xdr:from>
    <xdr:to>
      <xdr:col>13</xdr:col>
      <xdr:colOff>600075</xdr:colOff>
      <xdr:row>13</xdr:row>
      <xdr:rowOff>171450</xdr:rowOff>
    </xdr:to>
    <xdr:sp macro="" textlink="">
      <xdr:nvSpPr>
        <xdr:cNvPr id="18" name="Rectangle 17"/>
        <xdr:cNvSpPr/>
      </xdr:nvSpPr>
      <xdr:spPr>
        <a:xfrm>
          <a:off x="4781550" y="1362075"/>
          <a:ext cx="3448050" cy="20288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d-ID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6</xdr:col>
      <xdr:colOff>7620</xdr:colOff>
      <xdr:row>1</xdr:row>
      <xdr:rowOff>7620</xdr:rowOff>
    </xdr:to>
    <xdr:pic>
      <xdr:nvPicPr>
        <xdr:cNvPr id="1146" name="Picture 8" descr="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68240" y="54864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57150</xdr:rowOff>
    </xdr:from>
    <xdr:to>
      <xdr:col>1</xdr:col>
      <xdr:colOff>85725</xdr:colOff>
      <xdr:row>0</xdr:row>
      <xdr:rowOff>295275</xdr:rowOff>
    </xdr:to>
    <xdr:sp macro="[0]!GoInput" textlink="">
      <xdr:nvSpPr>
        <xdr:cNvPr id="1033" name="Rectangle 9"/>
        <xdr:cNvSpPr>
          <a:spLocks noChangeArrowheads="1"/>
        </xdr:cNvSpPr>
      </xdr:nvSpPr>
      <xdr:spPr bwMode="auto">
        <a:xfrm>
          <a:off x="0" y="57150"/>
          <a:ext cx="1333500" cy="238125"/>
        </a:xfrm>
        <a:prstGeom prst="rect">
          <a:avLst/>
        </a:prstGeom>
        <a:solidFill>
          <a:srgbClr val="E1F7EA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53882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CA" sz="1200" b="1" i="0" u="none" strike="noStrike" baseline="0">
              <a:solidFill>
                <a:srgbClr val="003300"/>
              </a:solidFill>
              <a:latin typeface="Arial Narrow"/>
            </a:rPr>
            <a:t>Input Sheet</a:t>
          </a:r>
        </a:p>
        <a:p>
          <a:pPr algn="ctr" rtl="0">
            <a:defRPr sz="1000"/>
          </a:pPr>
          <a:r>
            <a:rPr lang="en-CA" sz="1200" b="1" i="0" u="none" strike="noStrike" baseline="0">
              <a:solidFill>
                <a:srgbClr val="003300"/>
              </a:solidFill>
              <a:latin typeface="Arial Narrow"/>
            </a:rPr>
            <a:t>Parts Database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PartsDataEntry">
    <pageSetUpPr autoPageBreaks="0"/>
  </sheetPr>
  <dimension ref="B1:P110"/>
  <sheetViews>
    <sheetView showGridLines="0" tabSelected="1" workbookViewId="0">
      <selection activeCell="J4" sqref="J4"/>
    </sheetView>
  </sheetViews>
  <sheetFormatPr defaultColWidth="9.140625" defaultRowHeight="13.5"/>
  <cols>
    <col min="1" max="1" width="1.7109375" style="5" customWidth="1"/>
    <col min="2" max="2" width="39.5703125" style="27" customWidth="1"/>
    <col min="3" max="3" width="0.85546875" style="5" customWidth="1"/>
    <col min="4" max="4" width="22.5703125" style="26" customWidth="1"/>
    <col min="5" max="5" width="4.140625" style="5" hidden="1" customWidth="1"/>
    <col min="6" max="6" width="12.28515625" style="5" hidden="1" customWidth="1"/>
    <col min="7" max="7" width="1.7109375" style="5" customWidth="1"/>
    <col min="8" max="8" width="9.140625" style="5"/>
    <col min="9" max="9" width="1.28515625" style="5" customWidth="1"/>
    <col min="10" max="10" width="22.85546875" style="5" customWidth="1"/>
    <col min="11" max="11" width="4.140625" style="5" customWidth="1"/>
    <col min="12" max="12" width="6.7109375" style="5" customWidth="1"/>
    <col min="13" max="13" width="3.85546875" style="6" bestFit="1" customWidth="1"/>
    <col min="14" max="16384" width="9.140625" style="5"/>
  </cols>
  <sheetData>
    <row r="1" spans="2:16" ht="14.25">
      <c r="E1" s="4" t="s">
        <v>3</v>
      </c>
      <c r="F1" s="4" t="s">
        <v>3</v>
      </c>
      <c r="K1" s="4"/>
      <c r="L1" s="4"/>
    </row>
    <row r="2" spans="2:16" ht="18.75" customHeight="1">
      <c r="E2" s="7"/>
      <c r="F2" s="7"/>
      <c r="J2" s="8"/>
      <c r="K2" s="7"/>
      <c r="L2" s="7"/>
    </row>
    <row r="3" spans="2:16" ht="48" customHeight="1">
      <c r="B3" s="28"/>
      <c r="D3" s="58" t="s">
        <v>160</v>
      </c>
      <c r="J3" s="64"/>
      <c r="K3" s="60">
        <f ca="1">IF(ISERROR(MATCH(OrderSel,OrderIDList,0)),0,MATCH(OrderSel,OrderIDList,0))</f>
        <v>2</v>
      </c>
      <c r="L3" s="60" t="b">
        <f>IF(OrderSel="",FALSE,AND(OrderID&lt;&gt;"",COUNTIF(PartsData!E:E,OrderID)&gt;0))</f>
        <v>1</v>
      </c>
    </row>
    <row r="4" spans="2:16" ht="10.5" customHeight="1" thickBot="1">
      <c r="E4" s="9" t="s">
        <v>1</v>
      </c>
      <c r="F4" s="10" t="s">
        <v>2</v>
      </c>
      <c r="K4" s="11"/>
      <c r="L4" s="11"/>
    </row>
    <row r="5" spans="2:16" ht="18" customHeight="1" thickTop="1" thickBot="1">
      <c r="B5" s="29" t="s">
        <v>17</v>
      </c>
      <c r="D5" s="53" t="s">
        <v>153</v>
      </c>
      <c r="E5" s="52" t="s">
        <v>0</v>
      </c>
      <c r="F5" s="12" t="str">
        <f>IF(E5="","",IF(D5="",1,""))</f>
        <v/>
      </c>
      <c r="G5" s="3"/>
      <c r="H5" s="31"/>
      <c r="I5" s="32"/>
      <c r="J5" s="33"/>
      <c r="K5" s="13"/>
      <c r="L5" s="13"/>
      <c r="N5" s="32"/>
      <c r="O5" s="61"/>
      <c r="P5" s="32"/>
    </row>
    <row r="6" spans="2:16" ht="18" customHeight="1" thickTop="1" thickBot="1">
      <c r="B6" s="29" t="s">
        <v>18</v>
      </c>
      <c r="D6" s="54">
        <v>43132</v>
      </c>
      <c r="E6" s="52" t="s">
        <v>0</v>
      </c>
      <c r="F6" s="12" t="str">
        <f>IF(E6="","",IF(D6="",1,""))</f>
        <v/>
      </c>
      <c r="H6" s="31"/>
      <c r="I6" s="32"/>
      <c r="J6" s="65" t="s">
        <v>161</v>
      </c>
      <c r="K6" s="13"/>
      <c r="L6" s="13"/>
      <c r="N6" s="62">
        <v>2</v>
      </c>
      <c r="O6" s="60"/>
      <c r="P6" s="63">
        <f>COUNTA(PartsData!A:A)-1</f>
        <v>2</v>
      </c>
    </row>
    <row r="7" spans="2:16" ht="18" customHeight="1" thickTop="1" thickBot="1">
      <c r="B7" s="29" t="s">
        <v>19</v>
      </c>
      <c r="D7" s="55">
        <v>43139</v>
      </c>
      <c r="E7" s="52"/>
      <c r="F7" s="12" t="str">
        <f>IF(E7="","",IF(D7="",1,""))</f>
        <v/>
      </c>
      <c r="H7" s="31"/>
      <c r="I7" s="32"/>
      <c r="J7" s="59">
        <v>43139</v>
      </c>
      <c r="K7" s="66" t="s">
        <v>19</v>
      </c>
      <c r="L7" s="13"/>
      <c r="N7" s="32"/>
      <c r="O7" s="32"/>
      <c r="P7" s="32"/>
    </row>
    <row r="8" spans="2:16" ht="18" customHeight="1" thickTop="1" thickBot="1">
      <c r="B8" s="34" t="s">
        <v>20</v>
      </c>
      <c r="D8" s="53">
        <v>3</v>
      </c>
      <c r="E8" s="52" t="s">
        <v>0</v>
      </c>
      <c r="F8" s="12" t="str">
        <f>IF(E8="","",IF(D8="",1,""))</f>
        <v/>
      </c>
    </row>
    <row r="9" spans="2:16" ht="18" customHeight="1" thickTop="1" thickBot="1">
      <c r="B9" s="34" t="s">
        <v>21</v>
      </c>
      <c r="D9" s="56">
        <v>0</v>
      </c>
      <c r="K9" s="6"/>
    </row>
    <row r="10" spans="2:16" ht="18" customHeight="1" thickTop="1" thickBot="1">
      <c r="B10" s="34" t="s">
        <v>22</v>
      </c>
      <c r="D10" s="56">
        <v>0</v>
      </c>
    </row>
    <row r="11" spans="2:16" ht="18" customHeight="1" thickTop="1" thickBot="1">
      <c r="B11" s="34" t="s">
        <v>23</v>
      </c>
      <c r="D11" s="57">
        <v>3</v>
      </c>
    </row>
    <row r="12" spans="2:16" ht="18" customHeight="1" thickTop="1" thickBot="1">
      <c r="B12" s="34" t="s">
        <v>24</v>
      </c>
      <c r="D12" s="57">
        <v>0</v>
      </c>
    </row>
    <row r="13" spans="2:16" ht="18" customHeight="1" thickTop="1" thickBot="1">
      <c r="B13" s="34" t="s">
        <v>25</v>
      </c>
      <c r="D13" s="57">
        <v>3</v>
      </c>
    </row>
    <row r="14" spans="2:16" ht="18" customHeight="1" thickTop="1" thickBot="1">
      <c r="B14" s="34" t="s">
        <v>26</v>
      </c>
      <c r="D14" s="57">
        <v>0</v>
      </c>
    </row>
    <row r="15" spans="2:16" ht="18" customHeight="1" thickTop="1" thickBot="1">
      <c r="B15" s="34" t="s">
        <v>27</v>
      </c>
      <c r="D15" s="57">
        <v>0</v>
      </c>
    </row>
    <row r="16" spans="2:16" ht="18" customHeight="1" thickTop="1" thickBot="1">
      <c r="B16" s="34" t="s">
        <v>28</v>
      </c>
      <c r="D16" s="57">
        <v>0</v>
      </c>
    </row>
    <row r="17" spans="2:4" ht="18" customHeight="1" thickTop="1" thickBot="1">
      <c r="B17" s="34" t="s">
        <v>29</v>
      </c>
      <c r="D17" s="57">
        <v>1</v>
      </c>
    </row>
    <row r="18" spans="2:4" ht="18" customHeight="1" thickTop="1" thickBot="1">
      <c r="B18" s="34" t="s">
        <v>154</v>
      </c>
      <c r="D18" s="57">
        <v>5</v>
      </c>
    </row>
    <row r="19" spans="2:4" ht="18" customHeight="1" thickTop="1" thickBot="1">
      <c r="B19" s="34" t="s">
        <v>30</v>
      </c>
      <c r="D19" s="57">
        <v>0</v>
      </c>
    </row>
    <row r="20" spans="2:4" ht="18" customHeight="1" thickTop="1" thickBot="1">
      <c r="B20" s="34" t="s">
        <v>31</v>
      </c>
      <c r="D20" s="57">
        <v>4</v>
      </c>
    </row>
    <row r="21" spans="2:4" ht="18" customHeight="1" thickTop="1" thickBot="1">
      <c r="B21" s="34" t="s">
        <v>32</v>
      </c>
      <c r="D21" s="57">
        <v>1</v>
      </c>
    </row>
    <row r="22" spans="2:4" ht="18" customHeight="1" thickTop="1" thickBot="1">
      <c r="B22" s="34" t="s">
        <v>33</v>
      </c>
      <c r="D22" s="57">
        <v>10</v>
      </c>
    </row>
    <row r="23" spans="2:4" ht="18" customHeight="1" thickTop="1" thickBot="1">
      <c r="B23" s="34" t="s">
        <v>34</v>
      </c>
      <c r="D23" s="57">
        <v>0</v>
      </c>
    </row>
    <row r="24" spans="2:4" ht="18" customHeight="1" thickTop="1" thickBot="1">
      <c r="B24" s="34" t="s">
        <v>156</v>
      </c>
      <c r="D24" s="57">
        <v>0</v>
      </c>
    </row>
    <row r="25" spans="2:4" ht="18" customHeight="1" thickTop="1" thickBot="1">
      <c r="B25" s="34" t="s">
        <v>35</v>
      </c>
      <c r="D25" s="57">
        <v>0</v>
      </c>
    </row>
    <row r="26" spans="2:4" ht="18" customHeight="1" thickTop="1" thickBot="1">
      <c r="B26" s="34" t="s">
        <v>36</v>
      </c>
      <c r="D26" s="57">
        <v>0</v>
      </c>
    </row>
    <row r="27" spans="2:4" ht="18" customHeight="1" thickTop="1" thickBot="1">
      <c r="B27" s="34" t="s">
        <v>37</v>
      </c>
      <c r="D27" s="57">
        <v>0</v>
      </c>
    </row>
    <row r="28" spans="2:4" ht="18" customHeight="1" thickTop="1" thickBot="1">
      <c r="B28" s="34" t="s">
        <v>159</v>
      </c>
      <c r="D28" s="57">
        <v>0</v>
      </c>
    </row>
    <row r="29" spans="2:4" ht="18" customHeight="1" thickTop="1" thickBot="1">
      <c r="B29" s="34" t="s">
        <v>157</v>
      </c>
      <c r="D29" s="57">
        <v>0</v>
      </c>
    </row>
    <row r="30" spans="2:4" ht="18" customHeight="1" thickTop="1" thickBot="1">
      <c r="B30" s="34" t="s">
        <v>38</v>
      </c>
      <c r="D30" s="57">
        <v>1</v>
      </c>
    </row>
    <row r="31" spans="2:4" ht="18" customHeight="1" thickTop="1" thickBot="1">
      <c r="B31" s="34" t="s">
        <v>158</v>
      </c>
      <c r="D31" s="57">
        <v>0.25</v>
      </c>
    </row>
    <row r="32" spans="2:4" ht="18" customHeight="1" thickTop="1" thickBot="1">
      <c r="B32" s="34" t="s">
        <v>39</v>
      </c>
      <c r="D32" s="57">
        <v>3</v>
      </c>
    </row>
    <row r="33" spans="2:4" ht="18" customHeight="1" thickTop="1" thickBot="1">
      <c r="B33" s="34" t="s">
        <v>40</v>
      </c>
      <c r="D33" s="57">
        <v>6</v>
      </c>
    </row>
    <row r="34" spans="2:4" ht="18" customHeight="1" thickTop="1" thickBot="1">
      <c r="B34" s="34" t="s">
        <v>41</v>
      </c>
      <c r="D34" s="57">
        <v>4</v>
      </c>
    </row>
    <row r="35" spans="2:4" ht="18" customHeight="1" thickTop="1" thickBot="1">
      <c r="B35" s="34" t="s">
        <v>42</v>
      </c>
      <c r="D35" s="57">
        <v>0</v>
      </c>
    </row>
    <row r="36" spans="2:4" ht="18" customHeight="1" thickTop="1" thickBot="1">
      <c r="B36" s="34" t="s">
        <v>155</v>
      </c>
      <c r="D36" s="57">
        <v>0</v>
      </c>
    </row>
    <row r="37" spans="2:4" ht="18" customHeight="1" thickTop="1" thickBot="1">
      <c r="B37" s="34" t="s">
        <v>43</v>
      </c>
      <c r="D37" s="57">
        <v>6</v>
      </c>
    </row>
    <row r="38" spans="2:4" ht="18" customHeight="1" thickTop="1" thickBot="1">
      <c r="B38" s="34" t="s">
        <v>44</v>
      </c>
      <c r="D38" s="57">
        <v>0</v>
      </c>
    </row>
    <row r="39" spans="2:4" ht="18" customHeight="1" thickTop="1" thickBot="1">
      <c r="B39" s="34" t="s">
        <v>45</v>
      </c>
      <c r="D39" s="57">
        <v>4</v>
      </c>
    </row>
    <row r="40" spans="2:4" ht="18" customHeight="1" thickTop="1" thickBot="1">
      <c r="B40" s="34" t="s">
        <v>46</v>
      </c>
      <c r="D40" s="57">
        <v>0</v>
      </c>
    </row>
    <row r="41" spans="2:4" ht="18" customHeight="1" thickTop="1" thickBot="1">
      <c r="B41" s="34" t="s">
        <v>47</v>
      </c>
      <c r="D41" s="57">
        <v>1</v>
      </c>
    </row>
    <row r="42" spans="2:4" ht="18" customHeight="1" thickTop="1" thickBot="1">
      <c r="B42" s="34" t="s">
        <v>48</v>
      </c>
      <c r="D42" s="57">
        <v>5</v>
      </c>
    </row>
    <row r="43" spans="2:4" ht="18" customHeight="1" thickTop="1" thickBot="1">
      <c r="B43" s="34" t="s">
        <v>49</v>
      </c>
      <c r="D43" s="57">
        <v>6</v>
      </c>
    </row>
    <row r="44" spans="2:4" ht="18" customHeight="1" thickTop="1" thickBot="1">
      <c r="B44" s="34" t="s">
        <v>50</v>
      </c>
      <c r="D44" s="57">
        <v>0</v>
      </c>
    </row>
    <row r="45" spans="2:4" ht="18" customHeight="1" thickTop="1" thickBot="1">
      <c r="B45" s="34" t="s">
        <v>51</v>
      </c>
      <c r="D45" s="57">
        <v>5</v>
      </c>
    </row>
    <row r="46" spans="2:4" ht="18" customHeight="1" thickTop="1">
      <c r="B46" s="35"/>
    </row>
    <row r="47" spans="2:4" ht="18" customHeight="1">
      <c r="B47" s="29"/>
    </row>
    <row r="48" spans="2:4" ht="18" customHeight="1">
      <c r="B48" s="29"/>
    </row>
    <row r="49" spans="2:2" ht="18" customHeight="1">
      <c r="B49" s="29"/>
    </row>
    <row r="50" spans="2:2" ht="18" customHeight="1">
      <c r="B50" s="29"/>
    </row>
    <row r="51" spans="2:2" ht="18" customHeight="1">
      <c r="B51" s="29"/>
    </row>
    <row r="52" spans="2:2" ht="18" customHeight="1">
      <c r="B52" s="29"/>
    </row>
    <row r="53" spans="2:2" ht="18" customHeight="1">
      <c r="B53" s="29"/>
    </row>
    <row r="54" spans="2:2" ht="18" customHeight="1">
      <c r="B54" s="29"/>
    </row>
    <row r="55" spans="2:2" ht="18" customHeight="1">
      <c r="B55" s="29"/>
    </row>
    <row r="56" spans="2:2" ht="18" customHeight="1">
      <c r="B56" s="29"/>
    </row>
    <row r="57" spans="2:2" ht="18" customHeight="1">
      <c r="B57" s="29"/>
    </row>
    <row r="58" spans="2:2" ht="18" customHeight="1">
      <c r="B58" s="29"/>
    </row>
    <row r="59" spans="2:2" ht="18" customHeight="1">
      <c r="B59" s="29"/>
    </row>
    <row r="60" spans="2:2" ht="18" customHeight="1">
      <c r="B60" s="29"/>
    </row>
    <row r="61" spans="2:2" ht="18" customHeight="1">
      <c r="B61" s="29"/>
    </row>
    <row r="62" spans="2:2" ht="18" customHeight="1">
      <c r="B62" s="29"/>
    </row>
    <row r="63" spans="2:2" ht="18" customHeight="1">
      <c r="B63" s="29"/>
    </row>
    <row r="64" spans="2:2" ht="18" customHeight="1">
      <c r="B64" s="29"/>
    </row>
    <row r="65" spans="2:2" ht="18" customHeight="1">
      <c r="B65" s="29"/>
    </row>
    <row r="66" spans="2:2" ht="18" customHeight="1">
      <c r="B66" s="29"/>
    </row>
    <row r="67" spans="2:2" ht="18" customHeight="1">
      <c r="B67" s="29"/>
    </row>
    <row r="68" spans="2:2" ht="18" customHeight="1">
      <c r="B68" s="29"/>
    </row>
    <row r="69" spans="2:2" ht="18" customHeight="1">
      <c r="B69" s="29"/>
    </row>
    <row r="70" spans="2:2" ht="18" customHeight="1">
      <c r="B70" s="29"/>
    </row>
    <row r="71" spans="2:2" ht="18" customHeight="1">
      <c r="B71" s="29"/>
    </row>
    <row r="72" spans="2:2" ht="18" customHeight="1">
      <c r="B72" s="29"/>
    </row>
    <row r="73" spans="2:2" ht="18" customHeight="1">
      <c r="B73" s="29"/>
    </row>
    <row r="74" spans="2:2" ht="18" customHeight="1">
      <c r="B74" s="29"/>
    </row>
    <row r="75" spans="2:2" ht="18" customHeight="1">
      <c r="B75" s="29"/>
    </row>
    <row r="76" spans="2:2" ht="18" customHeight="1">
      <c r="B76" s="29"/>
    </row>
    <row r="77" spans="2:2" ht="18" customHeight="1">
      <c r="B77" s="29"/>
    </row>
    <row r="78" spans="2:2" ht="18" customHeight="1">
      <c r="B78" s="29"/>
    </row>
    <row r="79" spans="2:2" ht="18" customHeight="1">
      <c r="B79" s="29"/>
    </row>
    <row r="80" spans="2:2" ht="18" customHeight="1">
      <c r="B80" s="29"/>
    </row>
    <row r="81" spans="2:2" ht="18" customHeight="1">
      <c r="B81" s="29"/>
    </row>
    <row r="82" spans="2:2" ht="18" customHeight="1">
      <c r="B82" s="29"/>
    </row>
    <row r="83" spans="2:2" ht="18" customHeight="1">
      <c r="B83" s="29"/>
    </row>
    <row r="84" spans="2:2" ht="18" customHeight="1">
      <c r="B84" s="29"/>
    </row>
    <row r="85" spans="2:2" ht="18" customHeight="1">
      <c r="B85" s="29"/>
    </row>
    <row r="86" spans="2:2" ht="18" customHeight="1">
      <c r="B86" s="29"/>
    </row>
    <row r="87" spans="2:2" ht="18" customHeight="1">
      <c r="B87" s="29"/>
    </row>
    <row r="88" spans="2:2" ht="18" customHeight="1">
      <c r="B88" s="29"/>
    </row>
    <row r="89" spans="2:2" ht="18" customHeight="1">
      <c r="B89" s="29"/>
    </row>
    <row r="90" spans="2:2" ht="18" customHeight="1">
      <c r="B90" s="29"/>
    </row>
    <row r="91" spans="2:2" ht="18" customHeight="1">
      <c r="B91" s="29"/>
    </row>
    <row r="92" spans="2:2" ht="18" customHeight="1">
      <c r="B92" s="29"/>
    </row>
    <row r="93" spans="2:2" ht="18" customHeight="1">
      <c r="B93" s="29"/>
    </row>
    <row r="94" spans="2:2" ht="18" customHeight="1">
      <c r="B94" s="29"/>
    </row>
    <row r="95" spans="2:2" ht="18" customHeight="1">
      <c r="B95" s="29"/>
    </row>
    <row r="96" spans="2:2" ht="18" customHeight="1">
      <c r="B96" s="29"/>
    </row>
    <row r="97" spans="2:4" ht="18" customHeight="1">
      <c r="B97" s="29"/>
    </row>
    <row r="98" spans="2:4" ht="18" customHeight="1">
      <c r="B98" s="29"/>
    </row>
    <row r="99" spans="2:4" ht="18" customHeight="1">
      <c r="B99" s="29"/>
    </row>
    <row r="100" spans="2:4" ht="18" customHeight="1">
      <c r="B100" s="29"/>
    </row>
    <row r="101" spans="2:4" ht="18" customHeight="1">
      <c r="B101" s="29"/>
    </row>
    <row r="102" spans="2:4" ht="18" customHeight="1">
      <c r="B102" s="29"/>
    </row>
    <row r="103" spans="2:4" ht="18" customHeight="1">
      <c r="B103" s="29"/>
    </row>
    <row r="104" spans="2:4" ht="18" customHeight="1">
      <c r="B104" s="29"/>
    </row>
    <row r="105" spans="2:4" ht="18" customHeight="1">
      <c r="B105" s="29"/>
    </row>
    <row r="106" spans="2:4" ht="18" customHeight="1">
      <c r="B106" s="29"/>
    </row>
    <row r="107" spans="2:4" ht="18" customHeight="1">
      <c r="B107" s="29"/>
    </row>
    <row r="108" spans="2:4" ht="18" customHeight="1">
      <c r="B108" s="29"/>
    </row>
    <row r="109" spans="2:4" ht="18" customHeight="1">
      <c r="B109" s="29"/>
    </row>
    <row r="110" spans="2:4" ht="18" customHeight="1">
      <c r="B110" s="29"/>
      <c r="D110" s="26" t="e">
        <v>#N/A</v>
      </c>
    </row>
  </sheetData>
  <phoneticPr fontId="3" type="noConversion"/>
  <dataValidations count="5">
    <dataValidation type="whole" allowBlank="1" showInputMessage="1" showErrorMessage="1" error="Enter a number between 1 and the total number of records." sqref="N6">
      <formula1>1</formula1>
      <formula2>P6</formula2>
    </dataValidation>
    <dataValidation type="whole" allowBlank="1" showInputMessage="1" showErrorMessage="1" sqref="D8">
      <formula1>-50000</formula1>
      <formula2>50000</formula2>
    </dataValidation>
    <dataValidation allowBlank="1" showInputMessage="1" showErrorMessage="1" sqref="D7"/>
    <dataValidation type="list" allowBlank="1" showInputMessage="1" showErrorMessage="1" sqref="J7">
      <formula1>OrderIDList</formula1>
    </dataValidation>
    <dataValidation type="list" operator="greaterThanOrEqual" allowBlank="1" showInputMessage="1" showErrorMessage="1" sqref="D5">
      <formula1>Musim</formula1>
    </dataValidation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PartsData"/>
  <dimension ref="A1:DD3"/>
  <sheetViews>
    <sheetView workbookViewId="0">
      <selection activeCell="C3" sqref="C3:DB3"/>
    </sheetView>
  </sheetViews>
  <sheetFormatPr defaultRowHeight="13.5"/>
  <cols>
    <col min="1" max="1" width="18.7109375" style="17" customWidth="1"/>
    <col min="2" max="2" width="18.7109375" style="20" customWidth="1"/>
    <col min="3" max="3" width="18.7109375" style="25" customWidth="1"/>
    <col min="4" max="4" width="18.7109375" style="22" customWidth="1"/>
    <col min="5" max="5" width="18.7109375" style="23" customWidth="1"/>
    <col min="6" max="108" width="18.7109375" style="20" customWidth="1"/>
    <col min="109" max="16384" width="9.140625" style="21"/>
  </cols>
  <sheetData>
    <row r="1" spans="1:108" s="19" customFormat="1" ht="29.25" customHeight="1">
      <c r="A1" s="24" t="s">
        <v>151</v>
      </c>
      <c r="B1" s="18" t="s">
        <v>152</v>
      </c>
      <c r="C1" s="30" t="str">
        <f>IF(INDEX(Input!$B$5:$B$110,COLUMN()-COLUMN($B$1))="","",INDEX(Input!$B$5:$B$110,COLUMN()-COLUMN($B$1)))</f>
        <v>Musim</v>
      </c>
      <c r="D1" s="30" t="str">
        <f>IF(INDEX(Input!$B$5:$B$110,COLUMN()-COLUMN($B$1))="","",INDEX(Input!$B$5:$B$110,COLUMN()-COLUMN($B$1)))</f>
        <v>Bulan</v>
      </c>
      <c r="E1" s="30" t="str">
        <f>IF(INDEX(Input!$B$5:$B$110,COLUMN()-COLUMN($B$1))="","",INDEX(Input!$B$5:$B$110,COLUMN()-COLUMN($B$1)))</f>
        <v>Tanggal Panen</v>
      </c>
      <c r="F1" s="30" t="str">
        <f>IF(INDEX(Input!$B$5:$B$110,COLUMN()-COLUMN($B$1))="","",INDEX(Input!$B$5:$B$110,COLUMN()-COLUMN($B$1)))</f>
        <v>Bawang Daun</v>
      </c>
      <c r="G1" s="30" t="str">
        <f>IF(INDEX(Input!$B$5:$B$110,COLUMN()-COLUMN($B$1))="","",INDEX(Input!$B$5:$B$110,COLUMN()-COLUMN($B$1)))</f>
        <v>Bawang Merah</v>
      </c>
      <c r="H1" s="30" t="str">
        <f>IF(INDEX(Input!$B$5:$B$110,COLUMN()-COLUMN($B$1))="","",INDEX(Input!$B$5:$B$110,COLUMN()-COLUMN($B$1)))</f>
        <v>Bayam Hijau</v>
      </c>
      <c r="I1" s="30" t="str">
        <f>IF(INDEX(Input!$B$5:$B$110,COLUMN()-COLUMN($B$1))="","",INDEX(Input!$B$5:$B$110,COLUMN()-COLUMN($B$1)))</f>
        <v>Bayam Merah</v>
      </c>
      <c r="J1" s="30" t="str">
        <f>IF(INDEX(Input!$B$5:$B$110,COLUMN()-COLUMN($B$1))="","",INDEX(Input!$B$5:$B$110,COLUMN()-COLUMN($B$1)))</f>
        <v>Brokoli</v>
      </c>
      <c r="K1" s="30" t="str">
        <f>IF(INDEX(Input!$B$5:$B$110,COLUMN()-COLUMN($B$1))="","",INDEX(Input!$B$5:$B$110,COLUMN()-COLUMN($B$1)))</f>
        <v>Bumbu Dapur</v>
      </c>
      <c r="L1" s="30" t="str">
        <f>IF(INDEX(Input!$B$5:$B$110,COLUMN()-COLUMN($B$1))="","",INDEX(Input!$B$5:$B$110,COLUMN()-COLUMN($B$1)))</f>
        <v>Buncis</v>
      </c>
      <c r="M1" s="30" t="str">
        <f>IF(INDEX(Input!$B$5:$B$110,COLUMN()-COLUMN($B$1))="","",INDEX(Input!$B$5:$B$110,COLUMN()-COLUMN($B$1)))</f>
        <v>Cabe Hijau Besar</v>
      </c>
      <c r="N1" s="30" t="str">
        <f>IF(INDEX(Input!$B$5:$B$110,COLUMN()-COLUMN($B$1))="","",INDEX(Input!$B$5:$B$110,COLUMN()-COLUMN($B$1)))</f>
        <v>Cabe Merah Besar</v>
      </c>
      <c r="O1" s="30" t="str">
        <f>IF(INDEX(Input!$B$5:$B$110,COLUMN()-COLUMN($B$1))="","",INDEX(Input!$B$5:$B$110,COLUMN()-COLUMN($B$1)))</f>
        <v>Daun Jeruk</v>
      </c>
      <c r="P1" s="30" t="str">
        <f>IF(INDEX(Input!$B$5:$B$110,COLUMN()-COLUMN($B$1))="","",INDEX(Input!$B$5:$B$110,COLUMN()-COLUMN($B$1)))</f>
        <v>Daun Singkong</v>
      </c>
      <c r="Q1" s="30" t="str">
        <f>IF(INDEX(Input!$B$5:$B$110,COLUMN()-COLUMN($B$1))="","",INDEX(Input!$B$5:$B$110,COLUMN()-COLUMN($B$1)))</f>
        <v>Jagung Semi</v>
      </c>
      <c r="R1" s="30" t="str">
        <f>IF(INDEX(Input!$B$5:$B$110,COLUMN()-COLUMN($B$1))="","",INDEX(Input!$B$5:$B$110,COLUMN()-COLUMN($B$1)))</f>
        <v>Jahe</v>
      </c>
      <c r="S1" s="30" t="str">
        <f>IF(INDEX(Input!$B$5:$B$110,COLUMN()-COLUMN($B$1))="","",INDEX(Input!$B$5:$B$110,COLUMN()-COLUMN($B$1)))</f>
        <v>Jahe Muda</v>
      </c>
      <c r="T1" s="30" t="str">
        <f>IF(INDEX(Input!$B$5:$B$110,COLUMN()-COLUMN($B$1))="","",INDEX(Input!$B$5:$B$110,COLUMN()-COLUMN($B$1)))</f>
        <v>Jeruk Lemon</v>
      </c>
      <c r="U1" s="30" t="str">
        <f>IF(INDEX(Input!$B$5:$B$110,COLUMN()-COLUMN($B$1))="","",INDEX(Input!$B$5:$B$110,COLUMN()-COLUMN($B$1)))</f>
        <v>Kacang Bulu</v>
      </c>
      <c r="V1" s="30" t="str">
        <f>IF(INDEX(Input!$B$5:$B$110,COLUMN()-COLUMN($B$1))="","",INDEX(Input!$B$5:$B$110,COLUMN()-COLUMN($B$1)))</f>
        <v>Kacang Endul</v>
      </c>
      <c r="W1" s="30" t="str">
        <f>IF(INDEX(Input!$B$5:$B$110,COLUMN()-COLUMN($B$1))="","",INDEX(Input!$B$5:$B$110,COLUMN()-COLUMN($B$1)))</f>
        <v>Kacang Merah</v>
      </c>
      <c r="X1" s="30" t="str">
        <f>IF(INDEX(Input!$B$5:$B$110,COLUMN()-COLUMN($B$1))="","",INDEX(Input!$B$5:$B$110,COLUMN()-COLUMN($B$1)))</f>
        <v>Kacang Panjang</v>
      </c>
      <c r="Y1" s="30" t="str">
        <f>IF(INDEX(Input!$B$5:$B$110,COLUMN()-COLUMN($B$1))="","",INDEX(Input!$B$5:$B$110,COLUMN()-COLUMN($B$1)))</f>
        <v>Kangkung</v>
      </c>
      <c r="Z1" s="30" t="str">
        <f>IF(INDEX(Input!$B$5:$B$110,COLUMN()-COLUMN($B$1))="","",INDEX(Input!$B$5:$B$110,COLUMN()-COLUMN($B$1)))</f>
        <v>Kecipir</v>
      </c>
      <c r="AA1" s="30" t="str">
        <f>IF(INDEX(Input!$B$5:$B$110,COLUMN()-COLUMN($B$1))="","",INDEX(Input!$B$5:$B$110,COLUMN()-COLUMN($B$1)))</f>
        <v>Kentang</v>
      </c>
      <c r="AB1" s="30" t="str">
        <f>IF(INDEX(Input!$B$5:$B$110,COLUMN()-COLUMN($B$1))="","",INDEX(Input!$B$5:$B$110,COLUMN()-COLUMN($B$1)))</f>
        <v>Kiciwis</v>
      </c>
      <c r="AC1" s="30" t="str">
        <f>IF(INDEX(Input!$B$5:$B$110,COLUMN()-COLUMN($B$1))="","",INDEX(Input!$B$5:$B$110,COLUMN()-COLUMN($B$1)))</f>
        <v>Kol</v>
      </c>
      <c r="AD1" s="30" t="str">
        <f>IF(INDEX(Input!$B$5:$B$110,COLUMN()-COLUMN($B$1))="","",INDEX(Input!$B$5:$B$110,COLUMN()-COLUMN($B$1)))</f>
        <v>Kunyit</v>
      </c>
      <c r="AE1" s="30" t="str">
        <f>IF(INDEX(Input!$B$5:$B$110,COLUMN()-COLUMN($B$1))="","",INDEX(Input!$B$5:$B$110,COLUMN()-COLUMN($B$1)))</f>
        <v>Labu Siam</v>
      </c>
      <c r="AF1" s="30" t="str">
        <f>IF(INDEX(Input!$B$5:$B$110,COLUMN()-COLUMN($B$1))="","",INDEX(Input!$B$5:$B$110,COLUMN()-COLUMN($B$1)))</f>
        <v>Lengkuas</v>
      </c>
      <c r="AG1" s="30" t="str">
        <f>IF(INDEX(Input!$B$5:$B$110,COLUMN()-COLUMN($B$1))="","",INDEX(Input!$B$5:$B$110,COLUMN()-COLUMN($B$1)))</f>
        <v>Mentimun</v>
      </c>
      <c r="AH1" s="30" t="str">
        <f>IF(INDEX(Input!$B$5:$B$110,COLUMN()-COLUMN($B$1))="","",INDEX(Input!$B$5:$B$110,COLUMN()-COLUMN($B$1)))</f>
        <v>Nangka Muda</v>
      </c>
      <c r="AI1" s="30" t="str">
        <f>IF(INDEX(Input!$B$5:$B$110,COLUMN()-COLUMN($B$1))="","",INDEX(Input!$B$5:$B$110,COLUMN()-COLUMN($B$1)))</f>
        <v>Pakcoy</v>
      </c>
      <c r="AJ1" s="30" t="str">
        <f>IF(INDEX(Input!$B$5:$B$110,COLUMN()-COLUMN($B$1))="","",INDEX(Input!$B$5:$B$110,COLUMN()-COLUMN($B$1)))</f>
        <v>Petsai</v>
      </c>
      <c r="AK1" s="30" t="str">
        <f>IF(INDEX(Input!$B$5:$B$110,COLUMN()-COLUMN($B$1))="","",INDEX(Input!$B$5:$B$110,COLUMN()-COLUMN($B$1)))</f>
        <v>Selada Hijau</v>
      </c>
      <c r="AL1" s="30" t="str">
        <f>IF(INDEX(Input!$B$5:$B$110,COLUMN()-COLUMN($B$1))="","",INDEX(Input!$B$5:$B$110,COLUMN()-COLUMN($B$1)))</f>
        <v>Selada Merah</v>
      </c>
      <c r="AM1" s="30" t="str">
        <f>IF(INDEX(Input!$B$5:$B$110,COLUMN()-COLUMN($B$1))="","",INDEX(Input!$B$5:$B$110,COLUMN()-COLUMN($B$1)))</f>
        <v>Seledri</v>
      </c>
      <c r="AN1" s="30" t="str">
        <f>IF(INDEX(Input!$B$5:$B$110,COLUMN()-COLUMN($B$1))="","",INDEX(Input!$B$5:$B$110,COLUMN()-COLUMN($B$1)))</f>
        <v>Sereh</v>
      </c>
      <c r="AO1" s="30" t="str">
        <f>IF(INDEX(Input!$B$5:$B$110,COLUMN()-COLUMN($B$1))="","",INDEX(Input!$B$5:$B$110,COLUMN()-COLUMN($B$1)))</f>
        <v>Sosin</v>
      </c>
      <c r="AP1" s="30" t="str">
        <f>IF(INDEX(Input!$B$5:$B$110,COLUMN()-COLUMN($B$1))="","",INDEX(Input!$B$5:$B$110,COLUMN()-COLUMN($B$1)))</f>
        <v>Tomat</v>
      </c>
      <c r="AQ1" s="30" t="str">
        <f>IF(INDEX(Input!$B$5:$B$110,COLUMN()-COLUMN($B$1))="","",INDEX(Input!$B$5:$B$110,COLUMN()-COLUMN($B$1)))</f>
        <v>Wortel</v>
      </c>
      <c r="AR1" s="30" t="str">
        <f>IF(INDEX(Input!$B$5:$B$110,COLUMN()-COLUMN($B$1))="","",INDEX(Input!$B$5:$B$110,COLUMN()-COLUMN($B$1)))</f>
        <v/>
      </c>
      <c r="AS1" s="30" t="str">
        <f>IF(INDEX(Input!$B$5:$B$110,COLUMN()-COLUMN($B$1))="","",INDEX(Input!$B$5:$B$110,COLUMN()-COLUMN($B$1)))</f>
        <v/>
      </c>
      <c r="AT1" s="30" t="str">
        <f>IF(INDEX(Input!$B$5:$B$110,COLUMN()-COLUMN($B$1))="","",INDEX(Input!$B$5:$B$110,COLUMN()-COLUMN($B$1)))</f>
        <v/>
      </c>
      <c r="AU1" s="30" t="str">
        <f>IF(INDEX(Input!$B$5:$B$110,COLUMN()-COLUMN($B$1))="","",INDEX(Input!$B$5:$B$110,COLUMN()-COLUMN($B$1)))</f>
        <v/>
      </c>
      <c r="AV1" s="30" t="str">
        <f>IF(INDEX(Input!$B$5:$B$110,COLUMN()-COLUMN($B$1))="","",INDEX(Input!$B$5:$B$110,COLUMN()-COLUMN($B$1)))</f>
        <v/>
      </c>
      <c r="AW1" s="30" t="str">
        <f>IF(INDEX(Input!$B$5:$B$110,COLUMN()-COLUMN($B$1))="","",INDEX(Input!$B$5:$B$110,COLUMN()-COLUMN($B$1)))</f>
        <v/>
      </c>
      <c r="AX1" s="30" t="str">
        <f>IF(INDEX(Input!$B$5:$B$110,COLUMN()-COLUMN($B$1))="","",INDEX(Input!$B$5:$B$110,COLUMN()-COLUMN($B$1)))</f>
        <v/>
      </c>
      <c r="AY1" s="30" t="str">
        <f>IF(INDEX(Input!$B$5:$B$110,COLUMN()-COLUMN($B$1))="","",INDEX(Input!$B$5:$B$110,COLUMN()-COLUMN($B$1)))</f>
        <v/>
      </c>
      <c r="AZ1" s="30" t="str">
        <f>IF(INDEX(Input!$B$5:$B$110,COLUMN()-COLUMN($B$1))="","",INDEX(Input!$B$5:$B$110,COLUMN()-COLUMN($B$1)))</f>
        <v/>
      </c>
      <c r="BA1" s="30" t="str">
        <f>IF(INDEX(Input!$B$5:$B$110,COLUMN()-COLUMN($B$1))="","",INDEX(Input!$B$5:$B$110,COLUMN()-COLUMN($B$1)))</f>
        <v/>
      </c>
      <c r="BB1" s="30" t="str">
        <f>IF(INDEX(Input!$B$5:$B$110,COLUMN()-COLUMN($B$1))="","",INDEX(Input!$B$5:$B$110,COLUMN()-COLUMN($B$1)))</f>
        <v/>
      </c>
      <c r="BC1" s="30" t="str">
        <f>IF(INDEX(Input!$B$5:$B$110,COLUMN()-COLUMN($B$1))="","",INDEX(Input!$B$5:$B$110,COLUMN()-COLUMN($B$1)))</f>
        <v/>
      </c>
      <c r="BD1" s="30" t="str">
        <f>IF(INDEX(Input!$B$5:$B$110,COLUMN()-COLUMN($B$1))="","",INDEX(Input!$B$5:$B$110,COLUMN()-COLUMN($B$1)))</f>
        <v/>
      </c>
      <c r="BE1" s="30" t="str">
        <f>IF(INDEX(Input!$B$5:$B$110,COLUMN()-COLUMN($B$1))="","",INDEX(Input!$B$5:$B$110,COLUMN()-COLUMN($B$1)))</f>
        <v/>
      </c>
      <c r="BF1" s="30" t="str">
        <f>IF(INDEX(Input!$B$5:$B$110,COLUMN()-COLUMN($B$1))="","",INDEX(Input!$B$5:$B$110,COLUMN()-COLUMN($B$1)))</f>
        <v/>
      </c>
      <c r="BG1" s="30" t="str">
        <f>IF(INDEX(Input!$B$5:$B$110,COLUMN()-COLUMN($B$1))="","",INDEX(Input!$B$5:$B$110,COLUMN()-COLUMN($B$1)))</f>
        <v/>
      </c>
      <c r="BH1" s="30" t="str">
        <f>IF(INDEX(Input!$B$5:$B$110,COLUMN()-COLUMN($B$1))="","",INDEX(Input!$B$5:$B$110,COLUMN()-COLUMN($B$1)))</f>
        <v/>
      </c>
      <c r="BI1" s="30" t="str">
        <f>IF(INDEX(Input!$B$5:$B$110,COLUMN()-COLUMN($B$1))="","",INDEX(Input!$B$5:$B$110,COLUMN()-COLUMN($B$1)))</f>
        <v/>
      </c>
      <c r="BJ1" s="30" t="str">
        <f>IF(INDEX(Input!$B$5:$B$110,COLUMN()-COLUMN($B$1))="","",INDEX(Input!$B$5:$B$110,COLUMN()-COLUMN($B$1)))</f>
        <v/>
      </c>
      <c r="BK1" s="30" t="str">
        <f>IF(INDEX(Input!$B$5:$B$110,COLUMN()-COLUMN($B$1))="","",INDEX(Input!$B$5:$B$110,COLUMN()-COLUMN($B$1)))</f>
        <v/>
      </c>
      <c r="BL1" s="30" t="str">
        <f>IF(INDEX(Input!$B$5:$B$110,COLUMN()-COLUMN($B$1))="","",INDEX(Input!$B$5:$B$110,COLUMN()-COLUMN($B$1)))</f>
        <v/>
      </c>
      <c r="BM1" s="30" t="str">
        <f>IF(INDEX(Input!$B$5:$B$110,COLUMN()-COLUMN($B$1))="","",INDEX(Input!$B$5:$B$110,COLUMN()-COLUMN($B$1)))</f>
        <v/>
      </c>
      <c r="BN1" s="30" t="str">
        <f>IF(INDEX(Input!$B$5:$B$110,COLUMN()-COLUMN($B$1))="","",INDEX(Input!$B$5:$B$110,COLUMN()-COLUMN($B$1)))</f>
        <v/>
      </c>
      <c r="BO1" s="30" t="str">
        <f>IF(INDEX(Input!$B$5:$B$110,COLUMN()-COLUMN($B$1))="","",INDEX(Input!$B$5:$B$110,COLUMN()-COLUMN($B$1)))</f>
        <v/>
      </c>
      <c r="BP1" s="30" t="str">
        <f>IF(INDEX(Input!$B$5:$B$110,COLUMN()-COLUMN($B$1))="","",INDEX(Input!$B$5:$B$110,COLUMN()-COLUMN($B$1)))</f>
        <v/>
      </c>
      <c r="BQ1" s="30" t="str">
        <f>IF(INDEX(Input!$B$5:$B$110,COLUMN()-COLUMN($B$1))="","",INDEX(Input!$B$5:$B$110,COLUMN()-COLUMN($B$1)))</f>
        <v/>
      </c>
      <c r="BR1" s="30" t="str">
        <f>IF(INDEX(Input!$B$5:$B$110,COLUMN()-COLUMN($B$1))="","",INDEX(Input!$B$5:$B$110,COLUMN()-COLUMN($B$1)))</f>
        <v/>
      </c>
      <c r="BS1" s="30" t="str">
        <f>IF(INDEX(Input!$B$5:$B$110,COLUMN()-COLUMN($B$1))="","",INDEX(Input!$B$5:$B$110,COLUMN()-COLUMN($B$1)))</f>
        <v/>
      </c>
      <c r="BT1" s="30" t="str">
        <f>IF(INDEX(Input!$B$5:$B$110,COLUMN()-COLUMN($B$1))="","",INDEX(Input!$B$5:$B$110,COLUMN()-COLUMN($B$1)))</f>
        <v/>
      </c>
      <c r="BU1" s="30" t="str">
        <f>IF(INDEX(Input!$B$5:$B$110,COLUMN()-COLUMN($B$1))="","",INDEX(Input!$B$5:$B$110,COLUMN()-COLUMN($B$1)))</f>
        <v/>
      </c>
      <c r="BV1" s="30" t="str">
        <f>IF(INDEX(Input!$B$5:$B$110,COLUMN()-COLUMN($B$1))="","",INDEX(Input!$B$5:$B$110,COLUMN()-COLUMN($B$1)))</f>
        <v/>
      </c>
      <c r="BW1" s="30" t="str">
        <f>IF(INDEX(Input!$B$5:$B$110,COLUMN()-COLUMN($B$1))="","",INDEX(Input!$B$5:$B$110,COLUMN()-COLUMN($B$1)))</f>
        <v/>
      </c>
      <c r="BX1" s="30" t="str">
        <f>IF(INDEX(Input!$B$5:$B$110,COLUMN()-COLUMN($B$1))="","",INDEX(Input!$B$5:$B$110,COLUMN()-COLUMN($B$1)))</f>
        <v/>
      </c>
      <c r="BY1" s="30" t="str">
        <f>IF(INDEX(Input!$B$5:$B$110,COLUMN()-COLUMN($B$1))="","",INDEX(Input!$B$5:$B$110,COLUMN()-COLUMN($B$1)))</f>
        <v/>
      </c>
      <c r="BZ1" s="30" t="str">
        <f>IF(INDEX(Input!$B$5:$B$110,COLUMN()-COLUMN($B$1))="","",INDEX(Input!$B$5:$B$110,COLUMN()-COLUMN($B$1)))</f>
        <v/>
      </c>
      <c r="CA1" s="30" t="str">
        <f>IF(INDEX(Input!$B$5:$B$110,COLUMN()-COLUMN($B$1))="","",INDEX(Input!$B$5:$B$110,COLUMN()-COLUMN($B$1)))</f>
        <v/>
      </c>
      <c r="CB1" s="30" t="str">
        <f>IF(INDEX(Input!$B$5:$B$110,COLUMN()-COLUMN($B$1))="","",INDEX(Input!$B$5:$B$110,COLUMN()-COLUMN($B$1)))</f>
        <v/>
      </c>
      <c r="CC1" s="30" t="str">
        <f>IF(INDEX(Input!$B$5:$B$110,COLUMN()-COLUMN($B$1))="","",INDEX(Input!$B$5:$B$110,COLUMN()-COLUMN($B$1)))</f>
        <v/>
      </c>
      <c r="CD1" s="30" t="str">
        <f>IF(INDEX(Input!$B$5:$B$110,COLUMN()-COLUMN($B$1))="","",INDEX(Input!$B$5:$B$110,COLUMN()-COLUMN($B$1)))</f>
        <v/>
      </c>
      <c r="CE1" s="30" t="str">
        <f>IF(INDEX(Input!$B$5:$B$110,COLUMN()-COLUMN($B$1))="","",INDEX(Input!$B$5:$B$110,COLUMN()-COLUMN($B$1)))</f>
        <v/>
      </c>
      <c r="CF1" s="30" t="str">
        <f>IF(INDEX(Input!$B$5:$B$110,COLUMN()-COLUMN($B$1))="","",INDEX(Input!$B$5:$B$110,COLUMN()-COLUMN($B$1)))</f>
        <v/>
      </c>
      <c r="CG1" s="30" t="str">
        <f>IF(INDEX(Input!$B$5:$B$110,COLUMN()-COLUMN($B$1))="","",INDEX(Input!$B$5:$B$110,COLUMN()-COLUMN($B$1)))</f>
        <v/>
      </c>
      <c r="CH1" s="30" t="str">
        <f>IF(INDEX(Input!$B$5:$B$110,COLUMN()-COLUMN($B$1))="","",INDEX(Input!$B$5:$B$110,COLUMN()-COLUMN($B$1)))</f>
        <v/>
      </c>
      <c r="CI1" s="30" t="str">
        <f>IF(INDEX(Input!$B$5:$B$110,COLUMN()-COLUMN($B$1))="","",INDEX(Input!$B$5:$B$110,COLUMN()-COLUMN($B$1)))</f>
        <v/>
      </c>
      <c r="CJ1" s="30" t="str">
        <f>IF(INDEX(Input!$B$5:$B$110,COLUMN()-COLUMN($B$1))="","",INDEX(Input!$B$5:$B$110,COLUMN()-COLUMN($B$1)))</f>
        <v/>
      </c>
      <c r="CK1" s="30" t="str">
        <f>IF(INDEX(Input!$B$5:$B$110,COLUMN()-COLUMN($B$1))="","",INDEX(Input!$B$5:$B$110,COLUMN()-COLUMN($B$1)))</f>
        <v/>
      </c>
      <c r="CL1" s="30" t="str">
        <f>IF(INDEX(Input!$B$5:$B$110,COLUMN()-COLUMN($B$1))="","",INDEX(Input!$B$5:$B$110,COLUMN()-COLUMN($B$1)))</f>
        <v/>
      </c>
      <c r="CM1" s="30" t="str">
        <f>IF(INDEX(Input!$B$5:$B$110,COLUMN()-COLUMN($B$1))="","",INDEX(Input!$B$5:$B$110,COLUMN()-COLUMN($B$1)))</f>
        <v/>
      </c>
      <c r="CN1" s="30" t="str">
        <f>IF(INDEX(Input!$B$5:$B$110,COLUMN()-COLUMN($B$1))="","",INDEX(Input!$B$5:$B$110,COLUMN()-COLUMN($B$1)))</f>
        <v/>
      </c>
      <c r="CO1" s="30" t="str">
        <f>IF(INDEX(Input!$B$5:$B$110,COLUMN()-COLUMN($B$1))="","",INDEX(Input!$B$5:$B$110,COLUMN()-COLUMN($B$1)))</f>
        <v/>
      </c>
      <c r="CP1" s="30" t="str">
        <f>IF(INDEX(Input!$B$5:$B$110,COLUMN()-COLUMN($B$1))="","",INDEX(Input!$B$5:$B$110,COLUMN()-COLUMN($B$1)))</f>
        <v/>
      </c>
      <c r="CQ1" s="30" t="str">
        <f>IF(INDEX(Input!$B$5:$B$110,COLUMN()-COLUMN($B$1))="","",INDEX(Input!$B$5:$B$110,COLUMN()-COLUMN($B$1)))</f>
        <v/>
      </c>
      <c r="CR1" s="30" t="str">
        <f>IF(INDEX(Input!$B$5:$B$110,COLUMN()-COLUMN($B$1))="","",INDEX(Input!$B$5:$B$110,COLUMN()-COLUMN($B$1)))</f>
        <v/>
      </c>
      <c r="CS1" s="30" t="str">
        <f>IF(INDEX(Input!$B$5:$B$110,COLUMN()-COLUMN($B$1))="","",INDEX(Input!$B$5:$B$110,COLUMN()-COLUMN($B$1)))</f>
        <v/>
      </c>
      <c r="CT1" s="30" t="str">
        <f>IF(INDEX(Input!$B$5:$B$110,COLUMN()-COLUMN($B$1))="","",INDEX(Input!$B$5:$B$110,COLUMN()-COLUMN($B$1)))</f>
        <v/>
      </c>
      <c r="CU1" s="30" t="str">
        <f>IF(INDEX(Input!$B$5:$B$110,COLUMN()-COLUMN($B$1))="","",INDEX(Input!$B$5:$B$110,COLUMN()-COLUMN($B$1)))</f>
        <v/>
      </c>
      <c r="CV1" s="30" t="str">
        <f>IF(INDEX(Input!$B$5:$B$110,COLUMN()-COLUMN($B$1))="","",INDEX(Input!$B$5:$B$110,COLUMN()-COLUMN($B$1)))</f>
        <v/>
      </c>
      <c r="CW1" s="30" t="str">
        <f>IF(INDEX(Input!$B$5:$B$110,COLUMN()-COLUMN($B$1))="","",INDEX(Input!$B$5:$B$110,COLUMN()-COLUMN($B$1)))</f>
        <v/>
      </c>
      <c r="CX1" s="30" t="str">
        <f>IF(INDEX(Input!$B$5:$B$110,COLUMN()-COLUMN($B$1))="","",INDEX(Input!$B$5:$B$110,COLUMN()-COLUMN($B$1)))</f>
        <v/>
      </c>
      <c r="CY1" s="30" t="str">
        <f>IF(INDEX(Input!$B$5:$B$110,COLUMN()-COLUMN($B$1))="","",INDEX(Input!$B$5:$B$110,COLUMN()-COLUMN($B$1)))</f>
        <v/>
      </c>
      <c r="CZ1" s="30" t="str">
        <f>IF(INDEX(Input!$B$5:$B$110,COLUMN()-COLUMN($B$1))="","",INDEX(Input!$B$5:$B$110,COLUMN()-COLUMN($B$1)))</f>
        <v/>
      </c>
      <c r="DA1" s="30" t="str">
        <f>IF(INDEX(Input!$B$5:$B$110,COLUMN()-COLUMN($B$1))="","",INDEX(Input!$B$5:$B$110,COLUMN()-COLUMN($B$1)))</f>
        <v/>
      </c>
      <c r="DB1" s="30" t="str">
        <f>IF(INDEX(Input!$B$5:$B$110,COLUMN()-COLUMN($B$1))="","",INDEX(Input!$B$5:$B$110,COLUMN()-COLUMN($B$1)))</f>
        <v/>
      </c>
      <c r="DC1" s="30" t="str">
        <f>IF(INDEX(Input!$B$5:$B$110,COLUMN()-COLUMN($B$1))="","",INDEX(Input!$B$5:$B$110,COLUMN()-COLUMN($B$1)))</f>
        <v/>
      </c>
      <c r="DD1" s="30" t="str">
        <f>IF(INDEX(Input!$B$5:$B$110,COLUMN()-COLUMN($B$1))="","",INDEX(Input!$B$5:$B$110,COLUMN()-COLUMN($B$1)))</f>
        <v/>
      </c>
    </row>
    <row r="2" spans="1:108">
      <c r="A2" s="15">
        <v>43134.981747685182</v>
      </c>
      <c r="B2" s="20" t="s">
        <v>52</v>
      </c>
      <c r="C2" s="25" t="s">
        <v>153</v>
      </c>
      <c r="D2" s="22">
        <v>43132</v>
      </c>
      <c r="E2" s="23">
        <v>43132</v>
      </c>
      <c r="F2" s="20">
        <v>2</v>
      </c>
      <c r="G2" s="20">
        <v>0</v>
      </c>
      <c r="H2" s="20">
        <v>0</v>
      </c>
      <c r="I2" s="20">
        <v>2</v>
      </c>
      <c r="J2" s="20">
        <v>0</v>
      </c>
      <c r="K2" s="20">
        <v>0.75</v>
      </c>
      <c r="L2" s="20">
        <v>0</v>
      </c>
      <c r="M2" s="20">
        <v>0.01</v>
      </c>
      <c r="N2" s="20">
        <v>0</v>
      </c>
      <c r="O2" s="20">
        <v>1</v>
      </c>
      <c r="P2" s="20">
        <v>3</v>
      </c>
      <c r="Q2" s="20">
        <v>0</v>
      </c>
      <c r="R2" s="20">
        <v>4</v>
      </c>
      <c r="S2" s="20">
        <v>0</v>
      </c>
      <c r="T2" s="20">
        <v>5</v>
      </c>
      <c r="U2" s="20">
        <v>0</v>
      </c>
      <c r="V2" s="20">
        <v>0</v>
      </c>
      <c r="W2" s="20">
        <v>0</v>
      </c>
      <c r="X2" s="20">
        <v>4</v>
      </c>
      <c r="Y2" s="20">
        <v>0</v>
      </c>
      <c r="AA2" s="20">
        <v>0</v>
      </c>
      <c r="AB2" s="20">
        <v>2</v>
      </c>
      <c r="AD2" s="20">
        <v>2</v>
      </c>
      <c r="AE2" s="20">
        <v>3.75</v>
      </c>
      <c r="AF2" s="20">
        <v>2</v>
      </c>
      <c r="AG2" s="20">
        <v>0</v>
      </c>
      <c r="AH2" s="20">
        <v>0.75</v>
      </c>
      <c r="AI2" s="20">
        <v>4.5</v>
      </c>
      <c r="AJ2" s="20">
        <v>0</v>
      </c>
      <c r="AK2" s="20">
        <v>3</v>
      </c>
      <c r="AL2" s="20">
        <v>0</v>
      </c>
      <c r="AM2" s="20">
        <v>0.25</v>
      </c>
      <c r="AN2" s="20">
        <v>2</v>
      </c>
      <c r="AO2" s="20">
        <v>3</v>
      </c>
      <c r="AP2" s="20">
        <v>0</v>
      </c>
      <c r="AQ2" s="20">
        <v>3.5</v>
      </c>
      <c r="AR2" s="20">
        <v>0</v>
      </c>
      <c r="AS2" s="20">
        <v>0</v>
      </c>
      <c r="AT2" s="20">
        <v>0</v>
      </c>
      <c r="AU2" s="20">
        <v>0</v>
      </c>
      <c r="AV2" s="20">
        <v>0</v>
      </c>
      <c r="AW2" s="20">
        <v>0</v>
      </c>
      <c r="AX2" s="20">
        <v>0</v>
      </c>
      <c r="AY2" s="20">
        <v>0</v>
      </c>
      <c r="AZ2" s="20">
        <v>0</v>
      </c>
      <c r="BA2" s="20">
        <v>0</v>
      </c>
      <c r="BB2" s="20">
        <v>0</v>
      </c>
      <c r="BC2" s="20">
        <v>0</v>
      </c>
      <c r="BD2" s="20">
        <v>0</v>
      </c>
      <c r="BE2" s="20">
        <v>0</v>
      </c>
      <c r="BF2" s="20">
        <v>0</v>
      </c>
      <c r="BG2" s="20">
        <v>0</v>
      </c>
      <c r="BH2" s="20">
        <v>0</v>
      </c>
      <c r="BI2" s="20">
        <v>0</v>
      </c>
      <c r="BJ2" s="20">
        <v>0</v>
      </c>
      <c r="BK2" s="20">
        <v>0</v>
      </c>
      <c r="BL2" s="20">
        <v>0</v>
      </c>
      <c r="BM2" s="20">
        <v>0</v>
      </c>
      <c r="BN2" s="20">
        <v>0</v>
      </c>
      <c r="BO2" s="20">
        <v>0</v>
      </c>
      <c r="BP2" s="20">
        <v>0</v>
      </c>
      <c r="BQ2" s="20">
        <v>0</v>
      </c>
      <c r="BR2" s="20">
        <v>0</v>
      </c>
      <c r="BS2" s="20">
        <v>0</v>
      </c>
      <c r="BT2" s="20">
        <v>0</v>
      </c>
      <c r="BU2" s="20">
        <v>0</v>
      </c>
      <c r="BV2" s="20">
        <v>0</v>
      </c>
      <c r="BW2" s="20">
        <v>0</v>
      </c>
      <c r="BX2" s="20">
        <v>0</v>
      </c>
      <c r="BY2" s="20">
        <v>0</v>
      </c>
      <c r="BZ2" s="20">
        <v>0</v>
      </c>
      <c r="CA2" s="20">
        <v>0</v>
      </c>
      <c r="CB2" s="20">
        <v>0</v>
      </c>
      <c r="CC2" s="20">
        <v>0</v>
      </c>
      <c r="CD2" s="20">
        <v>0</v>
      </c>
      <c r="CE2" s="20">
        <v>0</v>
      </c>
      <c r="CF2" s="20">
        <v>0</v>
      </c>
      <c r="CG2" s="20">
        <v>0</v>
      </c>
      <c r="CH2" s="20">
        <v>0</v>
      </c>
      <c r="CI2" s="20">
        <v>0</v>
      </c>
      <c r="CJ2" s="20">
        <v>0</v>
      </c>
      <c r="CK2" s="20">
        <v>0</v>
      </c>
      <c r="CL2" s="20">
        <v>0</v>
      </c>
      <c r="CM2" s="20">
        <v>0</v>
      </c>
      <c r="CN2" s="20">
        <v>0</v>
      </c>
      <c r="CO2" s="20">
        <v>0</v>
      </c>
      <c r="CP2" s="20">
        <v>0</v>
      </c>
      <c r="CQ2" s="20">
        <v>0</v>
      </c>
      <c r="CR2" s="20">
        <v>0</v>
      </c>
      <c r="CS2" s="20">
        <v>0</v>
      </c>
      <c r="CT2" s="20">
        <v>0</v>
      </c>
      <c r="CU2" s="20">
        <v>0</v>
      </c>
      <c r="CV2" s="20">
        <v>0</v>
      </c>
      <c r="CW2" s="20">
        <v>0</v>
      </c>
      <c r="CX2" s="20">
        <v>0</v>
      </c>
      <c r="CY2" s="20">
        <v>0</v>
      </c>
      <c r="CZ2" s="20">
        <v>0</v>
      </c>
      <c r="DA2" s="20">
        <v>0</v>
      </c>
      <c r="DB2" s="20">
        <v>0</v>
      </c>
      <c r="DC2" s="20">
        <v>0</v>
      </c>
      <c r="DD2" s="20">
        <v>0</v>
      </c>
    </row>
    <row r="3" spans="1:108">
      <c r="A3" s="15">
        <v>43136.9294212963</v>
      </c>
      <c r="B3" s="20" t="s">
        <v>52</v>
      </c>
      <c r="C3" s="25" t="s">
        <v>153</v>
      </c>
      <c r="D3" s="22">
        <v>43132</v>
      </c>
      <c r="E3" s="23">
        <v>43139</v>
      </c>
      <c r="F3" s="20">
        <v>3</v>
      </c>
      <c r="G3" s="20">
        <v>0</v>
      </c>
      <c r="H3" s="20">
        <v>0</v>
      </c>
      <c r="I3" s="20">
        <v>3</v>
      </c>
      <c r="J3" s="20">
        <v>0</v>
      </c>
      <c r="K3" s="20">
        <v>3</v>
      </c>
      <c r="L3" s="20">
        <v>0</v>
      </c>
      <c r="M3" s="20">
        <v>0</v>
      </c>
      <c r="N3" s="20">
        <v>0</v>
      </c>
      <c r="O3" s="20">
        <v>1</v>
      </c>
      <c r="P3" s="20">
        <v>5</v>
      </c>
      <c r="Q3" s="20">
        <v>0</v>
      </c>
      <c r="R3" s="20">
        <v>4</v>
      </c>
      <c r="S3" s="20">
        <v>1</v>
      </c>
      <c r="T3" s="20">
        <v>10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1</v>
      </c>
      <c r="AC3" s="20">
        <v>0.25</v>
      </c>
      <c r="AD3" s="20">
        <v>3</v>
      </c>
      <c r="AE3" s="20">
        <v>6</v>
      </c>
      <c r="AF3" s="20">
        <v>4</v>
      </c>
      <c r="AG3" s="20">
        <v>0</v>
      </c>
      <c r="AH3" s="20">
        <v>0</v>
      </c>
      <c r="AI3" s="20">
        <v>6</v>
      </c>
      <c r="AJ3" s="20">
        <v>0</v>
      </c>
      <c r="AK3" s="20">
        <v>4</v>
      </c>
      <c r="AL3" s="20">
        <v>0</v>
      </c>
      <c r="AM3" s="20">
        <v>1</v>
      </c>
      <c r="AN3" s="20">
        <v>5</v>
      </c>
      <c r="AO3" s="20">
        <v>6</v>
      </c>
      <c r="AP3" s="20">
        <v>0</v>
      </c>
      <c r="AQ3" s="20">
        <v>5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</v>
      </c>
      <c r="BG3" s="20">
        <v>0</v>
      </c>
      <c r="BH3" s="20">
        <v>0</v>
      </c>
      <c r="BI3" s="20">
        <v>0</v>
      </c>
      <c r="BJ3" s="20">
        <v>0</v>
      </c>
      <c r="BK3" s="20">
        <v>0</v>
      </c>
      <c r="BL3" s="20">
        <v>0</v>
      </c>
      <c r="BM3" s="20">
        <v>0</v>
      </c>
      <c r="BN3" s="20">
        <v>0</v>
      </c>
      <c r="BO3" s="20">
        <v>0</v>
      </c>
      <c r="BP3" s="20">
        <v>0</v>
      </c>
      <c r="BQ3" s="20">
        <v>0</v>
      </c>
      <c r="BR3" s="20">
        <v>0</v>
      </c>
      <c r="BS3" s="20">
        <v>0</v>
      </c>
      <c r="BT3" s="20">
        <v>0</v>
      </c>
      <c r="BU3" s="20">
        <v>0</v>
      </c>
      <c r="BV3" s="20">
        <v>0</v>
      </c>
      <c r="BW3" s="20">
        <v>0</v>
      </c>
      <c r="BX3" s="20">
        <v>0</v>
      </c>
      <c r="BY3" s="20">
        <v>0</v>
      </c>
      <c r="BZ3" s="20">
        <v>0</v>
      </c>
      <c r="CA3" s="20">
        <v>0</v>
      </c>
      <c r="CB3" s="20">
        <v>0</v>
      </c>
      <c r="CC3" s="20">
        <v>0</v>
      </c>
      <c r="CD3" s="20">
        <v>0</v>
      </c>
      <c r="CE3" s="20">
        <v>0</v>
      </c>
      <c r="CF3" s="20">
        <v>0</v>
      </c>
      <c r="CG3" s="20">
        <v>0</v>
      </c>
      <c r="CH3" s="20">
        <v>0</v>
      </c>
      <c r="CI3" s="20">
        <v>0</v>
      </c>
      <c r="CJ3" s="20">
        <v>0</v>
      </c>
      <c r="CK3" s="20">
        <v>0</v>
      </c>
      <c r="CL3" s="20">
        <v>0</v>
      </c>
      <c r="CM3" s="20">
        <v>0</v>
      </c>
      <c r="CN3" s="20">
        <v>0</v>
      </c>
      <c r="CO3" s="20">
        <v>0</v>
      </c>
      <c r="CP3" s="20">
        <v>0</v>
      </c>
      <c r="CQ3" s="20">
        <v>0</v>
      </c>
      <c r="CR3" s="20">
        <v>0</v>
      </c>
      <c r="CS3" s="20">
        <v>0</v>
      </c>
      <c r="CT3" s="20">
        <v>0</v>
      </c>
      <c r="CU3" s="20">
        <v>0</v>
      </c>
      <c r="CV3" s="20">
        <v>0</v>
      </c>
      <c r="CW3" s="20">
        <v>0</v>
      </c>
      <c r="CX3" s="20">
        <v>0</v>
      </c>
      <c r="CY3" s="20">
        <v>0</v>
      </c>
      <c r="CZ3" s="20">
        <v>0</v>
      </c>
      <c r="DA3" s="20">
        <v>0</v>
      </c>
      <c r="DB3" s="20">
        <v>0</v>
      </c>
      <c r="DC3" s="20">
        <v>0</v>
      </c>
      <c r="DD3" s="20">
        <v>0</v>
      </c>
    </row>
  </sheetData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InLink"/>
  <dimension ref="A1:CZ10"/>
  <sheetViews>
    <sheetView showGridLines="0" workbookViewId="0">
      <selection activeCell="A6" sqref="A6:CZ6"/>
    </sheetView>
  </sheetViews>
  <sheetFormatPr defaultRowHeight="16.5"/>
  <cols>
    <col min="1" max="104" width="18.7109375" style="3" customWidth="1"/>
  </cols>
  <sheetData>
    <row r="1" spans="1:104" ht="17.25" thickBot="1">
      <c r="A1" s="3" t="s">
        <v>13</v>
      </c>
      <c r="C1" s="3" t="s">
        <v>16</v>
      </c>
    </row>
    <row r="2" spans="1:104" ht="18" thickTop="1" thickBot="1">
      <c r="A2" s="36">
        <f>MATCH(A5,PartsData!1:1,0)</f>
        <v>3</v>
      </c>
      <c r="C2" s="36">
        <f ca="1">SUM(9:9)</f>
        <v>0</v>
      </c>
    </row>
    <row r="3" spans="1:104" ht="17.25" thickTop="1"/>
    <row r="4" spans="1:104" ht="17.25">
      <c r="A4" s="16" t="s">
        <v>4</v>
      </c>
      <c r="B4" s="16" t="s">
        <v>5</v>
      </c>
      <c r="C4" s="16" t="s">
        <v>6</v>
      </c>
      <c r="D4" s="16" t="s">
        <v>7</v>
      </c>
      <c r="E4" s="16" t="s">
        <v>8</v>
      </c>
      <c r="F4" s="16" t="s">
        <v>9</v>
      </c>
      <c r="G4" s="16" t="s">
        <v>53</v>
      </c>
      <c r="H4" s="16" t="s">
        <v>54</v>
      </c>
      <c r="I4" s="16" t="s">
        <v>55</v>
      </c>
      <c r="J4" s="16" t="s">
        <v>56</v>
      </c>
      <c r="K4" s="16" t="s">
        <v>57</v>
      </c>
      <c r="L4" s="16" t="s">
        <v>58</v>
      </c>
      <c r="M4" s="16" t="s">
        <v>59</v>
      </c>
      <c r="N4" s="16" t="s">
        <v>60</v>
      </c>
      <c r="O4" s="16" t="s">
        <v>61</v>
      </c>
      <c r="P4" s="16" t="s">
        <v>62</v>
      </c>
      <c r="Q4" s="16" t="s">
        <v>63</v>
      </c>
      <c r="R4" s="16" t="s">
        <v>64</v>
      </c>
      <c r="S4" s="16" t="s">
        <v>65</v>
      </c>
      <c r="T4" s="16" t="s">
        <v>66</v>
      </c>
      <c r="U4" s="16" t="s">
        <v>67</v>
      </c>
      <c r="V4" s="16" t="s">
        <v>68</v>
      </c>
      <c r="W4" s="16" t="s">
        <v>69</v>
      </c>
      <c r="X4" s="16" t="s">
        <v>70</v>
      </c>
      <c r="Y4" s="16" t="s">
        <v>71</v>
      </c>
      <c r="Z4" s="16" t="s">
        <v>72</v>
      </c>
      <c r="AA4" s="16" t="s">
        <v>73</v>
      </c>
      <c r="AB4" s="16" t="s">
        <v>74</v>
      </c>
      <c r="AC4" s="16" t="s">
        <v>75</v>
      </c>
      <c r="AD4" s="16" t="s">
        <v>76</v>
      </c>
      <c r="AE4" s="16" t="s">
        <v>77</v>
      </c>
      <c r="AF4" s="16" t="s">
        <v>78</v>
      </c>
      <c r="AG4" s="16" t="s">
        <v>79</v>
      </c>
      <c r="AH4" s="16" t="s">
        <v>80</v>
      </c>
      <c r="AI4" s="16" t="s">
        <v>81</v>
      </c>
      <c r="AJ4" s="16" t="s">
        <v>82</v>
      </c>
      <c r="AK4" s="16" t="s">
        <v>83</v>
      </c>
      <c r="AL4" s="16" t="s">
        <v>84</v>
      </c>
      <c r="AM4" s="16" t="s">
        <v>85</v>
      </c>
      <c r="AN4" s="16" t="s">
        <v>86</v>
      </c>
      <c r="AO4" s="16" t="s">
        <v>87</v>
      </c>
      <c r="AP4" s="16" t="s">
        <v>88</v>
      </c>
      <c r="AQ4" s="16" t="s">
        <v>89</v>
      </c>
      <c r="AR4" s="16" t="s">
        <v>90</v>
      </c>
      <c r="AS4" s="16" t="s">
        <v>91</v>
      </c>
      <c r="AT4" s="16" t="s">
        <v>92</v>
      </c>
      <c r="AU4" s="16" t="s">
        <v>93</v>
      </c>
      <c r="AV4" s="16" t="s">
        <v>94</v>
      </c>
      <c r="AW4" s="16" t="s">
        <v>95</v>
      </c>
      <c r="AX4" s="16" t="s">
        <v>96</v>
      </c>
      <c r="AY4" s="16" t="s">
        <v>97</v>
      </c>
      <c r="AZ4" s="16" t="s">
        <v>98</v>
      </c>
      <c r="BA4" s="16" t="s">
        <v>99</v>
      </c>
      <c r="BB4" s="16" t="s">
        <v>100</v>
      </c>
      <c r="BC4" s="16" t="s">
        <v>101</v>
      </c>
      <c r="BD4" s="16" t="s">
        <v>102</v>
      </c>
      <c r="BE4" s="16" t="s">
        <v>103</v>
      </c>
      <c r="BF4" s="16" t="s">
        <v>104</v>
      </c>
      <c r="BG4" s="16" t="s">
        <v>105</v>
      </c>
      <c r="BH4" s="16" t="s">
        <v>106</v>
      </c>
      <c r="BI4" s="16" t="s">
        <v>107</v>
      </c>
      <c r="BJ4" s="16" t="s">
        <v>108</v>
      </c>
      <c r="BK4" s="16" t="s">
        <v>109</v>
      </c>
      <c r="BL4" s="16" t="s">
        <v>110</v>
      </c>
      <c r="BM4" s="16" t="s">
        <v>111</v>
      </c>
      <c r="BN4" s="16" t="s">
        <v>112</v>
      </c>
      <c r="BO4" s="16" t="s">
        <v>113</v>
      </c>
      <c r="BP4" s="16" t="s">
        <v>114</v>
      </c>
      <c r="BQ4" s="16" t="s">
        <v>115</v>
      </c>
      <c r="BR4" s="16" t="s">
        <v>116</v>
      </c>
      <c r="BS4" s="16" t="s">
        <v>117</v>
      </c>
      <c r="BT4" s="16" t="s">
        <v>118</v>
      </c>
      <c r="BU4" s="16" t="s">
        <v>119</v>
      </c>
      <c r="BV4" s="16" t="s">
        <v>120</v>
      </c>
      <c r="BW4" s="16" t="s">
        <v>121</v>
      </c>
      <c r="BX4" s="16" t="s">
        <v>122</v>
      </c>
      <c r="BY4" s="16" t="s">
        <v>123</v>
      </c>
      <c r="BZ4" s="16" t="s">
        <v>124</v>
      </c>
      <c r="CA4" s="16" t="s">
        <v>125</v>
      </c>
      <c r="CB4" s="16" t="s">
        <v>126</v>
      </c>
      <c r="CC4" s="16" t="s">
        <v>127</v>
      </c>
      <c r="CD4" s="16" t="s">
        <v>128</v>
      </c>
      <c r="CE4" s="16" t="s">
        <v>129</v>
      </c>
      <c r="CF4" s="16" t="s">
        <v>130</v>
      </c>
      <c r="CG4" s="16" t="s">
        <v>131</v>
      </c>
      <c r="CH4" s="16" t="s">
        <v>132</v>
      </c>
      <c r="CI4" s="16" t="s">
        <v>133</v>
      </c>
      <c r="CJ4" s="16" t="s">
        <v>134</v>
      </c>
      <c r="CK4" s="16" t="s">
        <v>135</v>
      </c>
      <c r="CL4" s="16" t="s">
        <v>136</v>
      </c>
      <c r="CM4" s="16" t="s">
        <v>137</v>
      </c>
      <c r="CN4" s="16" t="s">
        <v>138</v>
      </c>
      <c r="CO4" s="16" t="s">
        <v>139</v>
      </c>
      <c r="CP4" s="16" t="s">
        <v>140</v>
      </c>
      <c r="CQ4" s="16" t="s">
        <v>141</v>
      </c>
      <c r="CR4" s="16" t="s">
        <v>142</v>
      </c>
      <c r="CS4" s="16" t="s">
        <v>143</v>
      </c>
      <c r="CT4" s="16" t="s">
        <v>144</v>
      </c>
      <c r="CU4" s="16" t="s">
        <v>145</v>
      </c>
      <c r="CV4" s="16" t="s">
        <v>146</v>
      </c>
      <c r="CW4" s="16" t="s">
        <v>147</v>
      </c>
      <c r="CX4" s="16" t="s">
        <v>148</v>
      </c>
      <c r="CY4" s="16" t="s">
        <v>149</v>
      </c>
      <c r="CZ4" s="16" t="s">
        <v>150</v>
      </c>
    </row>
    <row r="5" spans="1:104" ht="18" thickBot="1">
      <c r="A5" s="14" t="str">
        <f>PartsData!C1</f>
        <v>Musim</v>
      </c>
      <c r="B5" s="14" t="str">
        <f>PartsData!D1</f>
        <v>Bulan</v>
      </c>
      <c r="C5" s="14" t="str">
        <f>PartsData!E1</f>
        <v>Tanggal Panen</v>
      </c>
      <c r="D5" s="14" t="str">
        <f>PartsData!F1</f>
        <v>Bawang Daun</v>
      </c>
      <c r="E5" s="14" t="str">
        <f>PartsData!G1</f>
        <v>Bawang Merah</v>
      </c>
      <c r="F5" s="14" t="str">
        <f>PartsData!H1</f>
        <v>Bayam Hijau</v>
      </c>
      <c r="G5" s="14" t="str">
        <f>PartsData!I1</f>
        <v>Bayam Merah</v>
      </c>
      <c r="H5" s="14" t="str">
        <f>PartsData!J1</f>
        <v>Brokoli</v>
      </c>
      <c r="I5" s="14" t="str">
        <f>PartsData!K1</f>
        <v>Bumbu Dapur</v>
      </c>
      <c r="J5" s="14" t="str">
        <f>PartsData!L1</f>
        <v>Buncis</v>
      </c>
      <c r="K5" s="14" t="str">
        <f>PartsData!M1</f>
        <v>Cabe Hijau Besar</v>
      </c>
      <c r="L5" s="14" t="str">
        <f>PartsData!N1</f>
        <v>Cabe Merah Besar</v>
      </c>
      <c r="M5" s="14" t="str">
        <f>PartsData!O1</f>
        <v>Daun Jeruk</v>
      </c>
      <c r="N5" s="14" t="str">
        <f>PartsData!P1</f>
        <v>Daun Singkong</v>
      </c>
      <c r="O5" s="14" t="str">
        <f>PartsData!Q1</f>
        <v>Jagung Semi</v>
      </c>
      <c r="P5" s="14" t="str">
        <f>PartsData!R1</f>
        <v>Jahe</v>
      </c>
      <c r="Q5" s="14" t="str">
        <f>PartsData!S1</f>
        <v>Jahe Muda</v>
      </c>
      <c r="R5" s="14" t="str">
        <f>PartsData!T1</f>
        <v>Jeruk Lemon</v>
      </c>
      <c r="S5" s="14" t="str">
        <f>PartsData!U1</f>
        <v>Kacang Bulu</v>
      </c>
      <c r="T5" s="14" t="str">
        <f>PartsData!V1</f>
        <v>Kacang Endul</v>
      </c>
      <c r="U5" s="14" t="str">
        <f>PartsData!W1</f>
        <v>Kacang Merah</v>
      </c>
      <c r="V5" s="14" t="str">
        <f>PartsData!X1</f>
        <v>Kacang Panjang</v>
      </c>
      <c r="W5" s="14" t="str">
        <f>PartsData!Y1</f>
        <v>Kangkung</v>
      </c>
      <c r="X5" s="14" t="str">
        <f>PartsData!Z1</f>
        <v>Kecipir</v>
      </c>
      <c r="Y5" s="14" t="str">
        <f>PartsData!AA1</f>
        <v>Kentang</v>
      </c>
      <c r="Z5" s="14" t="str">
        <f>PartsData!AB1</f>
        <v>Kiciwis</v>
      </c>
      <c r="AA5" s="14" t="str">
        <f>PartsData!AC1</f>
        <v>Kol</v>
      </c>
      <c r="AB5" s="14" t="str">
        <f>PartsData!AD1</f>
        <v>Kunyit</v>
      </c>
      <c r="AC5" s="14" t="str">
        <f>PartsData!AE1</f>
        <v>Labu Siam</v>
      </c>
      <c r="AD5" s="14" t="str">
        <f>PartsData!AF1</f>
        <v>Lengkuas</v>
      </c>
      <c r="AE5" s="14" t="str">
        <f>PartsData!AG1</f>
        <v>Mentimun</v>
      </c>
      <c r="AF5" s="14" t="str">
        <f>PartsData!AH1</f>
        <v>Nangka Muda</v>
      </c>
      <c r="AG5" s="14" t="str">
        <f>PartsData!AI1</f>
        <v>Pakcoy</v>
      </c>
      <c r="AH5" s="14" t="str">
        <f>PartsData!AJ1</f>
        <v>Petsai</v>
      </c>
      <c r="AI5" s="14" t="str">
        <f>PartsData!AK1</f>
        <v>Selada Hijau</v>
      </c>
      <c r="AJ5" s="14" t="str">
        <f>PartsData!AL1</f>
        <v>Selada Merah</v>
      </c>
      <c r="AK5" s="14" t="str">
        <f>PartsData!AM1</f>
        <v>Seledri</v>
      </c>
      <c r="AL5" s="14" t="str">
        <f>PartsData!AN1</f>
        <v>Sereh</v>
      </c>
      <c r="AM5" s="14" t="str">
        <f>PartsData!AO1</f>
        <v>Sosin</v>
      </c>
      <c r="AN5" s="14" t="str">
        <f>PartsData!AP1</f>
        <v>Tomat</v>
      </c>
      <c r="AO5" s="14" t="str">
        <f>PartsData!AQ1</f>
        <v>Wortel</v>
      </c>
      <c r="AP5" s="14" t="str">
        <f>PartsData!AR1</f>
        <v/>
      </c>
      <c r="AQ5" s="14" t="str">
        <f>PartsData!AS1</f>
        <v/>
      </c>
      <c r="AR5" s="14" t="str">
        <f>PartsData!AT1</f>
        <v/>
      </c>
      <c r="AS5" s="14" t="str">
        <f>PartsData!AU1</f>
        <v/>
      </c>
      <c r="AT5" s="14" t="str">
        <f>PartsData!AV1</f>
        <v/>
      </c>
      <c r="AU5" s="14" t="str">
        <f>PartsData!AW1</f>
        <v/>
      </c>
      <c r="AV5" s="14" t="str">
        <f>PartsData!AX1</f>
        <v/>
      </c>
      <c r="AW5" s="14" t="str">
        <f>PartsData!AY1</f>
        <v/>
      </c>
      <c r="AX5" s="14" t="str">
        <f>PartsData!AZ1</f>
        <v/>
      </c>
      <c r="AY5" s="14" t="str">
        <f>PartsData!BA1</f>
        <v/>
      </c>
      <c r="AZ5" s="14" t="str">
        <f>PartsData!BB1</f>
        <v/>
      </c>
      <c r="BA5" s="14" t="str">
        <f>PartsData!BC1</f>
        <v/>
      </c>
      <c r="BB5" s="14" t="str">
        <f>PartsData!BD1</f>
        <v/>
      </c>
      <c r="BC5" s="14" t="str">
        <f>PartsData!BE1</f>
        <v/>
      </c>
      <c r="BD5" s="14" t="str">
        <f>PartsData!BF1</f>
        <v/>
      </c>
      <c r="BE5" s="14" t="str">
        <f>PartsData!BG1</f>
        <v/>
      </c>
      <c r="BF5" s="14" t="str">
        <f>PartsData!BH1</f>
        <v/>
      </c>
      <c r="BG5" s="14" t="str">
        <f>PartsData!BI1</f>
        <v/>
      </c>
      <c r="BH5" s="14" t="str">
        <f>PartsData!BJ1</f>
        <v/>
      </c>
      <c r="BI5" s="14" t="str">
        <f>PartsData!BK1</f>
        <v/>
      </c>
      <c r="BJ5" s="14" t="str">
        <f>PartsData!BL1</f>
        <v/>
      </c>
      <c r="BK5" s="14" t="str">
        <f>PartsData!BM1</f>
        <v/>
      </c>
      <c r="BL5" s="14" t="str">
        <f>PartsData!BN1</f>
        <v/>
      </c>
      <c r="BM5" s="14" t="str">
        <f>PartsData!BO1</f>
        <v/>
      </c>
      <c r="BN5" s="14" t="str">
        <f>PartsData!BP1</f>
        <v/>
      </c>
      <c r="BO5" s="14" t="str">
        <f>PartsData!BQ1</f>
        <v/>
      </c>
      <c r="BP5" s="14" t="str">
        <f>PartsData!BR1</f>
        <v/>
      </c>
      <c r="BQ5" s="14" t="str">
        <f>PartsData!BS1</f>
        <v/>
      </c>
      <c r="BR5" s="14" t="str">
        <f>PartsData!BT1</f>
        <v/>
      </c>
      <c r="BS5" s="14" t="str">
        <f>PartsData!BU1</f>
        <v/>
      </c>
      <c r="BT5" s="14" t="str">
        <f>PartsData!BV1</f>
        <v/>
      </c>
      <c r="BU5" s="14" t="str">
        <f>PartsData!BW1</f>
        <v/>
      </c>
      <c r="BV5" s="14" t="str">
        <f>PartsData!BX1</f>
        <v/>
      </c>
      <c r="BW5" s="14" t="str">
        <f>PartsData!BY1</f>
        <v/>
      </c>
      <c r="BX5" s="14" t="str">
        <f>PartsData!BZ1</f>
        <v/>
      </c>
      <c r="BY5" s="14" t="str">
        <f>PartsData!CA1</f>
        <v/>
      </c>
      <c r="BZ5" s="14" t="str">
        <f>PartsData!CB1</f>
        <v/>
      </c>
      <c r="CA5" s="14" t="str">
        <f>PartsData!CC1</f>
        <v/>
      </c>
      <c r="CB5" s="14" t="str">
        <f>PartsData!CD1</f>
        <v/>
      </c>
      <c r="CC5" s="14" t="str">
        <f>PartsData!CE1</f>
        <v/>
      </c>
      <c r="CD5" s="14" t="str">
        <f>PartsData!CF1</f>
        <v/>
      </c>
      <c r="CE5" s="14" t="str">
        <f>PartsData!CG1</f>
        <v/>
      </c>
      <c r="CF5" s="14" t="str">
        <f>PartsData!CH1</f>
        <v/>
      </c>
      <c r="CG5" s="14" t="str">
        <f>PartsData!CI1</f>
        <v/>
      </c>
      <c r="CH5" s="14" t="str">
        <f>PartsData!CJ1</f>
        <v/>
      </c>
      <c r="CI5" s="14" t="str">
        <f>PartsData!CK1</f>
        <v/>
      </c>
      <c r="CJ5" s="14" t="str">
        <f>PartsData!CL1</f>
        <v/>
      </c>
      <c r="CK5" s="14" t="str">
        <f>PartsData!CM1</f>
        <v/>
      </c>
      <c r="CL5" s="14" t="str">
        <f>PartsData!CN1</f>
        <v/>
      </c>
      <c r="CM5" s="14" t="str">
        <f>PartsData!CO1</f>
        <v/>
      </c>
      <c r="CN5" s="14" t="str">
        <f>PartsData!CP1</f>
        <v/>
      </c>
      <c r="CO5" s="14" t="str">
        <f>PartsData!CQ1</f>
        <v/>
      </c>
      <c r="CP5" s="14" t="str">
        <f>PartsData!CR1</f>
        <v/>
      </c>
      <c r="CQ5" s="14" t="str">
        <f>PartsData!CS1</f>
        <v/>
      </c>
      <c r="CR5" s="14" t="str">
        <f>PartsData!CT1</f>
        <v/>
      </c>
      <c r="CS5" s="14" t="str">
        <f>PartsData!CU1</f>
        <v/>
      </c>
      <c r="CT5" s="14" t="str">
        <f>PartsData!CV1</f>
        <v/>
      </c>
      <c r="CU5" s="14" t="str">
        <f>PartsData!CW1</f>
        <v/>
      </c>
      <c r="CV5" s="14" t="str">
        <f>PartsData!CX1</f>
        <v/>
      </c>
      <c r="CW5" s="14" t="str">
        <f>PartsData!CY1</f>
        <v/>
      </c>
      <c r="CX5" s="14" t="str">
        <f>PartsData!CZ1</f>
        <v/>
      </c>
      <c r="CY5" s="14" t="str">
        <f>PartsData!DA1</f>
        <v/>
      </c>
      <c r="CZ5" s="14" t="str">
        <f>PartsData!DB1</f>
        <v/>
      </c>
    </row>
    <row r="6" spans="1:104" ht="18" thickTop="1" thickBot="1">
      <c r="A6" s="40" t="str">
        <f t="shared" ref="A6" ca="1" si="0">INDIRECT("Input!"&amp;A4)</f>
        <v>Musim II</v>
      </c>
      <c r="B6" s="41">
        <f t="shared" ref="B6:BM6" ca="1" si="1">INDIRECT("Input!"&amp;B4)</f>
        <v>43132</v>
      </c>
      <c r="C6" s="41">
        <f t="shared" ca="1" si="1"/>
        <v>43139</v>
      </c>
      <c r="D6" s="41">
        <f t="shared" ca="1" si="1"/>
        <v>3</v>
      </c>
      <c r="E6" s="41">
        <f t="shared" ca="1" si="1"/>
        <v>0</v>
      </c>
      <c r="F6" s="41">
        <f t="shared" ca="1" si="1"/>
        <v>0</v>
      </c>
      <c r="G6" s="41">
        <f t="shared" ca="1" si="1"/>
        <v>3</v>
      </c>
      <c r="H6" s="41">
        <f t="shared" ca="1" si="1"/>
        <v>0</v>
      </c>
      <c r="I6" s="41">
        <f t="shared" ca="1" si="1"/>
        <v>3</v>
      </c>
      <c r="J6" s="41">
        <f t="shared" ca="1" si="1"/>
        <v>0</v>
      </c>
      <c r="K6" s="41">
        <f t="shared" ca="1" si="1"/>
        <v>0</v>
      </c>
      <c r="L6" s="41">
        <f t="shared" ca="1" si="1"/>
        <v>0</v>
      </c>
      <c r="M6" s="41">
        <f t="shared" ca="1" si="1"/>
        <v>1</v>
      </c>
      <c r="N6" s="41">
        <f t="shared" ca="1" si="1"/>
        <v>5</v>
      </c>
      <c r="O6" s="41">
        <f t="shared" ca="1" si="1"/>
        <v>0</v>
      </c>
      <c r="P6" s="41">
        <f t="shared" ca="1" si="1"/>
        <v>4</v>
      </c>
      <c r="Q6" s="41">
        <f t="shared" ca="1" si="1"/>
        <v>1</v>
      </c>
      <c r="R6" s="41">
        <f t="shared" ca="1" si="1"/>
        <v>10</v>
      </c>
      <c r="S6" s="41">
        <f t="shared" ca="1" si="1"/>
        <v>0</v>
      </c>
      <c r="T6" s="41">
        <f t="shared" ca="1" si="1"/>
        <v>0</v>
      </c>
      <c r="U6" s="41">
        <f t="shared" ca="1" si="1"/>
        <v>0</v>
      </c>
      <c r="V6" s="41">
        <f t="shared" ca="1" si="1"/>
        <v>0</v>
      </c>
      <c r="W6" s="41">
        <f t="shared" ca="1" si="1"/>
        <v>0</v>
      </c>
      <c r="X6" s="41">
        <f t="shared" ca="1" si="1"/>
        <v>0</v>
      </c>
      <c r="Y6" s="41">
        <f t="shared" ca="1" si="1"/>
        <v>0</v>
      </c>
      <c r="Z6" s="41">
        <f t="shared" ca="1" si="1"/>
        <v>1</v>
      </c>
      <c r="AA6" s="41">
        <f t="shared" ca="1" si="1"/>
        <v>0.25</v>
      </c>
      <c r="AB6" s="41">
        <f t="shared" ca="1" si="1"/>
        <v>3</v>
      </c>
      <c r="AC6" s="41">
        <f t="shared" ca="1" si="1"/>
        <v>6</v>
      </c>
      <c r="AD6" s="41">
        <f t="shared" ca="1" si="1"/>
        <v>4</v>
      </c>
      <c r="AE6" s="41">
        <f t="shared" ca="1" si="1"/>
        <v>0</v>
      </c>
      <c r="AF6" s="41">
        <f t="shared" ca="1" si="1"/>
        <v>0</v>
      </c>
      <c r="AG6" s="41">
        <f t="shared" ca="1" si="1"/>
        <v>6</v>
      </c>
      <c r="AH6" s="41">
        <f t="shared" ca="1" si="1"/>
        <v>0</v>
      </c>
      <c r="AI6" s="41">
        <f t="shared" ca="1" si="1"/>
        <v>4</v>
      </c>
      <c r="AJ6" s="41">
        <f t="shared" ca="1" si="1"/>
        <v>0</v>
      </c>
      <c r="AK6" s="41">
        <f t="shared" ca="1" si="1"/>
        <v>1</v>
      </c>
      <c r="AL6" s="41">
        <f t="shared" ca="1" si="1"/>
        <v>5</v>
      </c>
      <c r="AM6" s="41">
        <f t="shared" ca="1" si="1"/>
        <v>6</v>
      </c>
      <c r="AN6" s="41">
        <f t="shared" ca="1" si="1"/>
        <v>0</v>
      </c>
      <c r="AO6" s="41">
        <f t="shared" ca="1" si="1"/>
        <v>5</v>
      </c>
      <c r="AP6" s="41">
        <f t="shared" ca="1" si="1"/>
        <v>0</v>
      </c>
      <c r="AQ6" s="41">
        <f t="shared" ca="1" si="1"/>
        <v>0</v>
      </c>
      <c r="AR6" s="41">
        <f t="shared" ca="1" si="1"/>
        <v>0</v>
      </c>
      <c r="AS6" s="41">
        <f t="shared" ca="1" si="1"/>
        <v>0</v>
      </c>
      <c r="AT6" s="41">
        <f t="shared" ca="1" si="1"/>
        <v>0</v>
      </c>
      <c r="AU6" s="41">
        <f t="shared" ca="1" si="1"/>
        <v>0</v>
      </c>
      <c r="AV6" s="41">
        <f t="shared" ca="1" si="1"/>
        <v>0</v>
      </c>
      <c r="AW6" s="41">
        <f t="shared" ca="1" si="1"/>
        <v>0</v>
      </c>
      <c r="AX6" s="41">
        <f t="shared" ca="1" si="1"/>
        <v>0</v>
      </c>
      <c r="AY6" s="41">
        <f t="shared" ca="1" si="1"/>
        <v>0</v>
      </c>
      <c r="AZ6" s="41">
        <f t="shared" ca="1" si="1"/>
        <v>0</v>
      </c>
      <c r="BA6" s="41">
        <f t="shared" ca="1" si="1"/>
        <v>0</v>
      </c>
      <c r="BB6" s="41">
        <f t="shared" ca="1" si="1"/>
        <v>0</v>
      </c>
      <c r="BC6" s="41">
        <f t="shared" ca="1" si="1"/>
        <v>0</v>
      </c>
      <c r="BD6" s="41">
        <f t="shared" ca="1" si="1"/>
        <v>0</v>
      </c>
      <c r="BE6" s="41">
        <f t="shared" ca="1" si="1"/>
        <v>0</v>
      </c>
      <c r="BF6" s="41">
        <f t="shared" ca="1" si="1"/>
        <v>0</v>
      </c>
      <c r="BG6" s="41">
        <f t="shared" ca="1" si="1"/>
        <v>0</v>
      </c>
      <c r="BH6" s="41">
        <f t="shared" ca="1" si="1"/>
        <v>0</v>
      </c>
      <c r="BI6" s="41">
        <f t="shared" ca="1" si="1"/>
        <v>0</v>
      </c>
      <c r="BJ6" s="41">
        <f t="shared" ca="1" si="1"/>
        <v>0</v>
      </c>
      <c r="BK6" s="41">
        <f t="shared" ca="1" si="1"/>
        <v>0</v>
      </c>
      <c r="BL6" s="41">
        <f t="shared" ca="1" si="1"/>
        <v>0</v>
      </c>
      <c r="BM6" s="41">
        <f t="shared" ca="1" si="1"/>
        <v>0</v>
      </c>
      <c r="BN6" s="41">
        <f t="shared" ref="BN6:CZ6" ca="1" si="2">INDIRECT("Input!"&amp;BN4)</f>
        <v>0</v>
      </c>
      <c r="BO6" s="41">
        <f t="shared" ca="1" si="2"/>
        <v>0</v>
      </c>
      <c r="BP6" s="41">
        <f t="shared" ca="1" si="2"/>
        <v>0</v>
      </c>
      <c r="BQ6" s="41">
        <f t="shared" ca="1" si="2"/>
        <v>0</v>
      </c>
      <c r="BR6" s="41">
        <f t="shared" ca="1" si="2"/>
        <v>0</v>
      </c>
      <c r="BS6" s="41">
        <f t="shared" ca="1" si="2"/>
        <v>0</v>
      </c>
      <c r="BT6" s="41">
        <f t="shared" ca="1" si="2"/>
        <v>0</v>
      </c>
      <c r="BU6" s="41">
        <f t="shared" ca="1" si="2"/>
        <v>0</v>
      </c>
      <c r="BV6" s="41">
        <f t="shared" ca="1" si="2"/>
        <v>0</v>
      </c>
      <c r="BW6" s="41">
        <f t="shared" ca="1" si="2"/>
        <v>0</v>
      </c>
      <c r="BX6" s="41">
        <f t="shared" ca="1" si="2"/>
        <v>0</v>
      </c>
      <c r="BY6" s="41">
        <f t="shared" ca="1" si="2"/>
        <v>0</v>
      </c>
      <c r="BZ6" s="41">
        <f t="shared" ca="1" si="2"/>
        <v>0</v>
      </c>
      <c r="CA6" s="41">
        <f t="shared" ca="1" si="2"/>
        <v>0</v>
      </c>
      <c r="CB6" s="41">
        <f t="shared" ca="1" si="2"/>
        <v>0</v>
      </c>
      <c r="CC6" s="41">
        <f t="shared" ca="1" si="2"/>
        <v>0</v>
      </c>
      <c r="CD6" s="41">
        <f t="shared" ca="1" si="2"/>
        <v>0</v>
      </c>
      <c r="CE6" s="41">
        <f t="shared" ca="1" si="2"/>
        <v>0</v>
      </c>
      <c r="CF6" s="41">
        <f t="shared" ca="1" si="2"/>
        <v>0</v>
      </c>
      <c r="CG6" s="41">
        <f t="shared" ca="1" si="2"/>
        <v>0</v>
      </c>
      <c r="CH6" s="41">
        <f t="shared" ca="1" si="2"/>
        <v>0</v>
      </c>
      <c r="CI6" s="41">
        <f t="shared" ca="1" si="2"/>
        <v>0</v>
      </c>
      <c r="CJ6" s="41">
        <f t="shared" ca="1" si="2"/>
        <v>0</v>
      </c>
      <c r="CK6" s="41">
        <f t="shared" ca="1" si="2"/>
        <v>0</v>
      </c>
      <c r="CL6" s="41">
        <f t="shared" ca="1" si="2"/>
        <v>0</v>
      </c>
      <c r="CM6" s="41">
        <f t="shared" ca="1" si="2"/>
        <v>0</v>
      </c>
      <c r="CN6" s="41">
        <f t="shared" ca="1" si="2"/>
        <v>0</v>
      </c>
      <c r="CO6" s="41">
        <f t="shared" ca="1" si="2"/>
        <v>0</v>
      </c>
      <c r="CP6" s="41">
        <f t="shared" ca="1" si="2"/>
        <v>0</v>
      </c>
      <c r="CQ6" s="41">
        <f t="shared" ca="1" si="2"/>
        <v>0</v>
      </c>
      <c r="CR6" s="41">
        <f t="shared" ca="1" si="2"/>
        <v>0</v>
      </c>
      <c r="CS6" s="41">
        <f t="shared" ca="1" si="2"/>
        <v>0</v>
      </c>
      <c r="CT6" s="41">
        <f t="shared" ca="1" si="2"/>
        <v>0</v>
      </c>
      <c r="CU6" s="41">
        <f t="shared" ca="1" si="2"/>
        <v>0</v>
      </c>
      <c r="CV6" s="41">
        <f t="shared" ca="1" si="2"/>
        <v>0</v>
      </c>
      <c r="CW6" s="41">
        <f t="shared" ca="1" si="2"/>
        <v>0</v>
      </c>
      <c r="CX6" s="41">
        <f t="shared" ca="1" si="2"/>
        <v>0</v>
      </c>
      <c r="CY6" s="41">
        <f t="shared" ca="1" si="2"/>
        <v>0</v>
      </c>
      <c r="CZ6" s="42">
        <f t="shared" ca="1" si="2"/>
        <v>0</v>
      </c>
    </row>
    <row r="7" spans="1:104" ht="17.25" thickTop="1"/>
    <row r="8" spans="1:104" ht="17.25" thickBot="1">
      <c r="A8" s="3" t="s">
        <v>15</v>
      </c>
    </row>
    <row r="9" spans="1:104" ht="18" thickTop="1" thickBot="1">
      <c r="A9" s="37" t="str">
        <f t="shared" ref="A9:BL9" ca="1" si="3">OFFSET(INDIRECT("Input!"&amp;A4),0,2)</f>
        <v/>
      </c>
      <c r="B9" s="38" t="str">
        <f t="shared" ca="1" si="3"/>
        <v/>
      </c>
      <c r="C9" s="38" t="str">
        <f t="shared" ca="1" si="3"/>
        <v/>
      </c>
      <c r="D9" s="38" t="str">
        <f t="shared" ca="1" si="3"/>
        <v/>
      </c>
      <c r="E9" s="38">
        <f t="shared" ca="1" si="3"/>
        <v>0</v>
      </c>
      <c r="F9" s="38">
        <f t="shared" ca="1" si="3"/>
        <v>0</v>
      </c>
      <c r="G9" s="38">
        <f t="shared" ca="1" si="3"/>
        <v>0</v>
      </c>
      <c r="H9" s="38">
        <f t="shared" ca="1" si="3"/>
        <v>0</v>
      </c>
      <c r="I9" s="38">
        <f t="shared" ca="1" si="3"/>
        <v>0</v>
      </c>
      <c r="J9" s="38">
        <f t="shared" ca="1" si="3"/>
        <v>0</v>
      </c>
      <c r="K9" s="38">
        <f t="shared" ca="1" si="3"/>
        <v>0</v>
      </c>
      <c r="L9" s="38">
        <f t="shared" ca="1" si="3"/>
        <v>0</v>
      </c>
      <c r="M9" s="38">
        <f t="shared" ca="1" si="3"/>
        <v>0</v>
      </c>
      <c r="N9" s="38">
        <f t="shared" ca="1" si="3"/>
        <v>0</v>
      </c>
      <c r="O9" s="38">
        <f t="shared" ca="1" si="3"/>
        <v>0</v>
      </c>
      <c r="P9" s="38">
        <f t="shared" ca="1" si="3"/>
        <v>0</v>
      </c>
      <c r="Q9" s="38">
        <f t="shared" ca="1" si="3"/>
        <v>0</v>
      </c>
      <c r="R9" s="38">
        <f t="shared" ca="1" si="3"/>
        <v>0</v>
      </c>
      <c r="S9" s="38">
        <f t="shared" ca="1" si="3"/>
        <v>0</v>
      </c>
      <c r="T9" s="38">
        <f t="shared" ca="1" si="3"/>
        <v>0</v>
      </c>
      <c r="U9" s="38">
        <f t="shared" ca="1" si="3"/>
        <v>0</v>
      </c>
      <c r="V9" s="38">
        <f t="shared" ca="1" si="3"/>
        <v>0</v>
      </c>
      <c r="W9" s="38">
        <f t="shared" ca="1" si="3"/>
        <v>0</v>
      </c>
      <c r="X9" s="38">
        <f t="shared" ca="1" si="3"/>
        <v>0</v>
      </c>
      <c r="Y9" s="38">
        <f t="shared" ca="1" si="3"/>
        <v>0</v>
      </c>
      <c r="Z9" s="38">
        <f t="shared" ca="1" si="3"/>
        <v>0</v>
      </c>
      <c r="AA9" s="38">
        <f t="shared" ca="1" si="3"/>
        <v>0</v>
      </c>
      <c r="AB9" s="38">
        <f t="shared" ca="1" si="3"/>
        <v>0</v>
      </c>
      <c r="AC9" s="38">
        <f t="shared" ca="1" si="3"/>
        <v>0</v>
      </c>
      <c r="AD9" s="38">
        <f t="shared" ca="1" si="3"/>
        <v>0</v>
      </c>
      <c r="AE9" s="38">
        <f t="shared" ca="1" si="3"/>
        <v>0</v>
      </c>
      <c r="AF9" s="38">
        <f t="shared" ca="1" si="3"/>
        <v>0</v>
      </c>
      <c r="AG9" s="38">
        <f t="shared" ca="1" si="3"/>
        <v>0</v>
      </c>
      <c r="AH9" s="38">
        <f t="shared" ca="1" si="3"/>
        <v>0</v>
      </c>
      <c r="AI9" s="38">
        <f t="shared" ca="1" si="3"/>
        <v>0</v>
      </c>
      <c r="AJ9" s="38">
        <f t="shared" ca="1" si="3"/>
        <v>0</v>
      </c>
      <c r="AK9" s="38">
        <f t="shared" ca="1" si="3"/>
        <v>0</v>
      </c>
      <c r="AL9" s="38">
        <f t="shared" ca="1" si="3"/>
        <v>0</v>
      </c>
      <c r="AM9" s="38">
        <f t="shared" ca="1" si="3"/>
        <v>0</v>
      </c>
      <c r="AN9" s="38">
        <f t="shared" ca="1" si="3"/>
        <v>0</v>
      </c>
      <c r="AO9" s="38">
        <f t="shared" ca="1" si="3"/>
        <v>0</v>
      </c>
      <c r="AP9" s="38">
        <f t="shared" ca="1" si="3"/>
        <v>0</v>
      </c>
      <c r="AQ9" s="38">
        <f t="shared" ca="1" si="3"/>
        <v>0</v>
      </c>
      <c r="AR9" s="38">
        <f t="shared" ca="1" si="3"/>
        <v>0</v>
      </c>
      <c r="AS9" s="38">
        <f t="shared" ca="1" si="3"/>
        <v>0</v>
      </c>
      <c r="AT9" s="38">
        <f t="shared" ca="1" si="3"/>
        <v>0</v>
      </c>
      <c r="AU9" s="38">
        <f t="shared" ca="1" si="3"/>
        <v>0</v>
      </c>
      <c r="AV9" s="38">
        <f t="shared" ca="1" si="3"/>
        <v>0</v>
      </c>
      <c r="AW9" s="38">
        <f t="shared" ca="1" si="3"/>
        <v>0</v>
      </c>
      <c r="AX9" s="38">
        <f t="shared" ca="1" si="3"/>
        <v>0</v>
      </c>
      <c r="AY9" s="38">
        <f t="shared" ca="1" si="3"/>
        <v>0</v>
      </c>
      <c r="AZ9" s="38">
        <f t="shared" ca="1" si="3"/>
        <v>0</v>
      </c>
      <c r="BA9" s="38">
        <f t="shared" ca="1" si="3"/>
        <v>0</v>
      </c>
      <c r="BB9" s="38">
        <f t="shared" ca="1" si="3"/>
        <v>0</v>
      </c>
      <c r="BC9" s="38">
        <f t="shared" ca="1" si="3"/>
        <v>0</v>
      </c>
      <c r="BD9" s="38">
        <f t="shared" ca="1" si="3"/>
        <v>0</v>
      </c>
      <c r="BE9" s="38">
        <f t="shared" ca="1" si="3"/>
        <v>0</v>
      </c>
      <c r="BF9" s="38">
        <f t="shared" ca="1" si="3"/>
        <v>0</v>
      </c>
      <c r="BG9" s="38">
        <f t="shared" ca="1" si="3"/>
        <v>0</v>
      </c>
      <c r="BH9" s="38">
        <f t="shared" ca="1" si="3"/>
        <v>0</v>
      </c>
      <c r="BI9" s="38">
        <f t="shared" ca="1" si="3"/>
        <v>0</v>
      </c>
      <c r="BJ9" s="38">
        <f t="shared" ca="1" si="3"/>
        <v>0</v>
      </c>
      <c r="BK9" s="38">
        <f t="shared" ca="1" si="3"/>
        <v>0</v>
      </c>
      <c r="BL9" s="38">
        <f t="shared" ca="1" si="3"/>
        <v>0</v>
      </c>
      <c r="BM9" s="38">
        <f t="shared" ref="BM9:CZ9" ca="1" si="4">OFFSET(INDIRECT("Input!"&amp;BM4),0,2)</f>
        <v>0</v>
      </c>
      <c r="BN9" s="38">
        <f t="shared" ca="1" si="4"/>
        <v>0</v>
      </c>
      <c r="BO9" s="38">
        <f t="shared" ca="1" si="4"/>
        <v>0</v>
      </c>
      <c r="BP9" s="38">
        <f t="shared" ca="1" si="4"/>
        <v>0</v>
      </c>
      <c r="BQ9" s="38">
        <f t="shared" ca="1" si="4"/>
        <v>0</v>
      </c>
      <c r="BR9" s="38">
        <f t="shared" ca="1" si="4"/>
        <v>0</v>
      </c>
      <c r="BS9" s="38">
        <f t="shared" ca="1" si="4"/>
        <v>0</v>
      </c>
      <c r="BT9" s="38">
        <f t="shared" ca="1" si="4"/>
        <v>0</v>
      </c>
      <c r="BU9" s="38">
        <f t="shared" ca="1" si="4"/>
        <v>0</v>
      </c>
      <c r="BV9" s="38">
        <f t="shared" ca="1" si="4"/>
        <v>0</v>
      </c>
      <c r="BW9" s="38">
        <f t="shared" ca="1" si="4"/>
        <v>0</v>
      </c>
      <c r="BX9" s="38">
        <f t="shared" ca="1" si="4"/>
        <v>0</v>
      </c>
      <c r="BY9" s="38">
        <f t="shared" ca="1" si="4"/>
        <v>0</v>
      </c>
      <c r="BZ9" s="38">
        <f t="shared" ca="1" si="4"/>
        <v>0</v>
      </c>
      <c r="CA9" s="38">
        <f t="shared" ca="1" si="4"/>
        <v>0</v>
      </c>
      <c r="CB9" s="38">
        <f t="shared" ca="1" si="4"/>
        <v>0</v>
      </c>
      <c r="CC9" s="38">
        <f t="shared" ca="1" si="4"/>
        <v>0</v>
      </c>
      <c r="CD9" s="38">
        <f t="shared" ca="1" si="4"/>
        <v>0</v>
      </c>
      <c r="CE9" s="38">
        <f t="shared" ca="1" si="4"/>
        <v>0</v>
      </c>
      <c r="CF9" s="38">
        <f t="shared" ca="1" si="4"/>
        <v>0</v>
      </c>
      <c r="CG9" s="38">
        <f t="shared" ca="1" si="4"/>
        <v>0</v>
      </c>
      <c r="CH9" s="38">
        <f t="shared" ca="1" si="4"/>
        <v>0</v>
      </c>
      <c r="CI9" s="38">
        <f t="shared" ca="1" si="4"/>
        <v>0</v>
      </c>
      <c r="CJ9" s="38">
        <f t="shared" ca="1" si="4"/>
        <v>0</v>
      </c>
      <c r="CK9" s="38">
        <f t="shared" ca="1" si="4"/>
        <v>0</v>
      </c>
      <c r="CL9" s="38">
        <f t="shared" ca="1" si="4"/>
        <v>0</v>
      </c>
      <c r="CM9" s="38">
        <f t="shared" ca="1" si="4"/>
        <v>0</v>
      </c>
      <c r="CN9" s="38">
        <f t="shared" ca="1" si="4"/>
        <v>0</v>
      </c>
      <c r="CO9" s="38">
        <f t="shared" ca="1" si="4"/>
        <v>0</v>
      </c>
      <c r="CP9" s="38">
        <f t="shared" ca="1" si="4"/>
        <v>0</v>
      </c>
      <c r="CQ9" s="38">
        <f t="shared" ca="1" si="4"/>
        <v>0</v>
      </c>
      <c r="CR9" s="38">
        <f t="shared" ca="1" si="4"/>
        <v>0</v>
      </c>
      <c r="CS9" s="38">
        <f t="shared" ca="1" si="4"/>
        <v>0</v>
      </c>
      <c r="CT9" s="38">
        <f t="shared" ca="1" si="4"/>
        <v>0</v>
      </c>
      <c r="CU9" s="38">
        <f t="shared" ca="1" si="4"/>
        <v>0</v>
      </c>
      <c r="CV9" s="38">
        <f t="shared" ca="1" si="4"/>
        <v>0</v>
      </c>
      <c r="CW9" s="38">
        <f t="shared" ca="1" si="4"/>
        <v>0</v>
      </c>
      <c r="CX9" s="38">
        <f t="shared" ca="1" si="4"/>
        <v>0</v>
      </c>
      <c r="CY9" s="38">
        <f t="shared" ca="1" si="4"/>
        <v>0</v>
      </c>
      <c r="CZ9" s="39">
        <f t="shared" ca="1" si="4"/>
        <v>0</v>
      </c>
    </row>
    <row r="10" spans="1:104" ht="17.25" thickTop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SelRec"/>
  <dimension ref="B1:J108"/>
  <sheetViews>
    <sheetView showGridLines="0" topLeftCell="A19" workbookViewId="0">
      <selection activeCell="C1" sqref="C1:C1048576"/>
    </sheetView>
  </sheetViews>
  <sheetFormatPr defaultRowHeight="15.75"/>
  <cols>
    <col min="1" max="1" width="3.5703125" customWidth="1"/>
    <col min="2" max="2" width="17.28515625" bestFit="1" customWidth="1"/>
    <col min="3" max="3" width="8" bestFit="1" customWidth="1"/>
    <col min="4" max="4" width="10.140625" style="43" bestFit="1" customWidth="1"/>
    <col min="5" max="7" width="2.28515625" customWidth="1"/>
    <col min="8" max="9" width="9.140625" style="43"/>
    <col min="10" max="10" width="10.140625" style="43" bestFit="1" customWidth="1"/>
  </cols>
  <sheetData>
    <row r="1" spans="2:10" ht="17.25" thickTop="1" thickBot="1">
      <c r="B1" s="1" t="s">
        <v>14</v>
      </c>
      <c r="C1" s="51">
        <f>CurrRec+1</f>
        <v>3</v>
      </c>
    </row>
    <row r="2" spans="2:10" ht="17.25" thickTop="1" thickBot="1"/>
    <row r="3" spans="2:10" ht="17.25" thickTop="1" thickBot="1">
      <c r="B3" s="47" t="s">
        <v>10</v>
      </c>
      <c r="C3" s="47" t="s">
        <v>11</v>
      </c>
      <c r="D3" s="47" t="s">
        <v>12</v>
      </c>
      <c r="H3" s="44"/>
      <c r="I3" s="44"/>
      <c r="J3" s="44"/>
    </row>
    <row r="4" spans="2:10" ht="17.25" thickTop="1" thickBot="1">
      <c r="B4" s="48" t="str">
        <f>IF(Input!B5="","",Input!B5)</f>
        <v>Musim</v>
      </c>
      <c r="C4" s="49">
        <f>IF(B4="","",MATCH(B4,PartsData!$1:$1,0))</f>
        <v>3</v>
      </c>
      <c r="D4" s="50" t="str">
        <f t="shared" ref="D4:D67" ca="1" si="0">IF(B4="","",(IF(DB_Row=1,"",IF(INDEX(PartsDatabase,DB_Row,C4)="","",INDEX(PartsDatabase,DB_Row,C4)))))</f>
        <v>Musim II</v>
      </c>
      <c r="I4" s="45"/>
      <c r="J4" s="46"/>
    </row>
    <row r="5" spans="2:10" ht="17.25" thickTop="1" thickBot="1">
      <c r="B5" s="48" t="str">
        <f>IF(Input!B6="","",Input!B6)</f>
        <v>Bulan</v>
      </c>
      <c r="C5" s="49">
        <f>IF(B5="","",MATCH(B5,PartsData!$1:$1,0))</f>
        <v>4</v>
      </c>
      <c r="D5" s="50">
        <f t="shared" ca="1" si="0"/>
        <v>43132</v>
      </c>
      <c r="I5" s="45"/>
      <c r="J5" s="46"/>
    </row>
    <row r="6" spans="2:10" ht="17.25" thickTop="1" thickBot="1">
      <c r="B6" s="48" t="str">
        <f>IF(Input!B7="","",Input!B7)</f>
        <v>Tanggal Panen</v>
      </c>
      <c r="C6" s="49">
        <f>IF(B6="","",MATCH(B6,PartsData!$1:$1,0))</f>
        <v>5</v>
      </c>
      <c r="D6" s="50">
        <f t="shared" ca="1" si="0"/>
        <v>43139</v>
      </c>
      <c r="I6" s="45"/>
      <c r="J6" s="46"/>
    </row>
    <row r="7" spans="2:10" ht="17.25" thickTop="1" thickBot="1">
      <c r="B7" s="48" t="str">
        <f>IF(Input!B8="","",Input!B8)</f>
        <v>Bawang Daun</v>
      </c>
      <c r="C7" s="49">
        <f>IF(B7="","",MATCH(B7,PartsData!$1:$1,0))</f>
        <v>6</v>
      </c>
      <c r="D7" s="50">
        <f t="shared" ca="1" si="0"/>
        <v>3</v>
      </c>
    </row>
    <row r="8" spans="2:10" ht="17.25" thickTop="1" thickBot="1">
      <c r="B8" s="48" t="str">
        <f>IF(Input!B9="","",Input!B9)</f>
        <v>Bawang Merah</v>
      </c>
      <c r="C8" s="49">
        <f>IF(B8="","",MATCH(B8,PartsData!$1:$1,0))</f>
        <v>7</v>
      </c>
      <c r="D8" s="50">
        <f t="shared" ca="1" si="0"/>
        <v>0</v>
      </c>
    </row>
    <row r="9" spans="2:10" ht="17.25" thickTop="1" thickBot="1">
      <c r="B9" s="48" t="str">
        <f>IF(Input!B10="","",Input!B10)</f>
        <v>Bayam Hijau</v>
      </c>
      <c r="C9" s="49">
        <f>IF(B9="","",MATCH(B9,PartsData!$1:$1,0))</f>
        <v>8</v>
      </c>
      <c r="D9" s="50">
        <f t="shared" ca="1" si="0"/>
        <v>0</v>
      </c>
    </row>
    <row r="10" spans="2:10" ht="17.25" thickTop="1" thickBot="1">
      <c r="B10" s="48" t="str">
        <f>IF(Input!B11="","",Input!B11)</f>
        <v>Bayam Merah</v>
      </c>
      <c r="C10" s="49">
        <f>IF(B10="","",MATCH(B10,PartsData!$1:$1,0))</f>
        <v>9</v>
      </c>
      <c r="D10" s="50">
        <f t="shared" ca="1" si="0"/>
        <v>3</v>
      </c>
    </row>
    <row r="11" spans="2:10" ht="17.25" thickTop="1" thickBot="1">
      <c r="B11" s="48" t="str">
        <f>IF(Input!B12="","",Input!B12)</f>
        <v>Brokoli</v>
      </c>
      <c r="C11" s="49">
        <f>IF(B11="","",MATCH(B11,PartsData!$1:$1,0))</f>
        <v>10</v>
      </c>
      <c r="D11" s="50">
        <f t="shared" ca="1" si="0"/>
        <v>0</v>
      </c>
    </row>
    <row r="12" spans="2:10" ht="17.25" thickTop="1" thickBot="1">
      <c r="B12" s="48" t="str">
        <f>IF(Input!B13="","",Input!B13)</f>
        <v>Bumbu Dapur</v>
      </c>
      <c r="C12" s="49">
        <f>IF(B12="","",MATCH(B12,PartsData!$1:$1,0))</f>
        <v>11</v>
      </c>
      <c r="D12" s="50">
        <f t="shared" ca="1" si="0"/>
        <v>3</v>
      </c>
    </row>
    <row r="13" spans="2:10" ht="17.25" thickTop="1" thickBot="1">
      <c r="B13" s="48" t="str">
        <f>IF(Input!B14="","",Input!B14)</f>
        <v>Buncis</v>
      </c>
      <c r="C13" s="49">
        <f>IF(B13="","",MATCH(B13,PartsData!$1:$1,0))</f>
        <v>12</v>
      </c>
      <c r="D13" s="50">
        <f t="shared" ca="1" si="0"/>
        <v>0</v>
      </c>
    </row>
    <row r="14" spans="2:10" ht="17.25" thickTop="1" thickBot="1">
      <c r="B14" s="48" t="str">
        <f>IF(Input!B15="","",Input!B15)</f>
        <v>Cabe Hijau Besar</v>
      </c>
      <c r="C14" s="49">
        <f>IF(B14="","",MATCH(B14,PartsData!$1:$1,0))</f>
        <v>13</v>
      </c>
      <c r="D14" s="50">
        <f t="shared" ca="1" si="0"/>
        <v>0</v>
      </c>
    </row>
    <row r="15" spans="2:10" ht="17.25" thickTop="1" thickBot="1">
      <c r="B15" s="48" t="str">
        <f>IF(Input!B16="","",Input!B16)</f>
        <v>Cabe Merah Besar</v>
      </c>
      <c r="C15" s="49">
        <f>IF(B15="","",MATCH(B15,PartsData!$1:$1,0))</f>
        <v>14</v>
      </c>
      <c r="D15" s="50">
        <f t="shared" ca="1" si="0"/>
        <v>0</v>
      </c>
    </row>
    <row r="16" spans="2:10" ht="17.25" thickTop="1" thickBot="1">
      <c r="B16" s="48" t="str">
        <f>IF(Input!B17="","",Input!B17)</f>
        <v>Daun Jeruk</v>
      </c>
      <c r="C16" s="49">
        <f>IF(B16="","",MATCH(B16,PartsData!$1:$1,0))</f>
        <v>15</v>
      </c>
      <c r="D16" s="50">
        <f t="shared" ca="1" si="0"/>
        <v>1</v>
      </c>
    </row>
    <row r="17" spans="2:4" ht="17.25" thickTop="1" thickBot="1">
      <c r="B17" s="48" t="str">
        <f>IF(Input!B18="","",Input!B18)</f>
        <v>Daun Singkong</v>
      </c>
      <c r="C17" s="49">
        <f>IF(B17="","",MATCH(B17,PartsData!$1:$1,0))</f>
        <v>16</v>
      </c>
      <c r="D17" s="50">
        <f t="shared" ca="1" si="0"/>
        <v>5</v>
      </c>
    </row>
    <row r="18" spans="2:4" ht="17.25" thickTop="1" thickBot="1">
      <c r="B18" s="48" t="str">
        <f>IF(Input!B19="","",Input!B19)</f>
        <v>Jagung Semi</v>
      </c>
      <c r="C18" s="49">
        <f>IF(B18="","",MATCH(B18,PartsData!$1:$1,0))</f>
        <v>17</v>
      </c>
      <c r="D18" s="50">
        <f t="shared" ca="1" si="0"/>
        <v>0</v>
      </c>
    </row>
    <row r="19" spans="2:4" ht="17.25" thickTop="1" thickBot="1">
      <c r="B19" s="48" t="str">
        <f>IF(Input!B20="","",Input!B20)</f>
        <v>Jahe</v>
      </c>
      <c r="C19" s="49">
        <f>IF(B19="","",MATCH(B19,PartsData!$1:$1,0))</f>
        <v>18</v>
      </c>
      <c r="D19" s="50">
        <f t="shared" ca="1" si="0"/>
        <v>4</v>
      </c>
    </row>
    <row r="20" spans="2:4" ht="17.25" thickTop="1" thickBot="1">
      <c r="B20" s="48" t="str">
        <f>IF(Input!B21="","",Input!B21)</f>
        <v>Jahe Muda</v>
      </c>
      <c r="C20" s="49">
        <f>IF(B20="","",MATCH(B20,PartsData!$1:$1,0))</f>
        <v>19</v>
      </c>
      <c r="D20" s="50">
        <f t="shared" ca="1" si="0"/>
        <v>1</v>
      </c>
    </row>
    <row r="21" spans="2:4" ht="17.25" thickTop="1" thickBot="1">
      <c r="B21" s="48" t="str">
        <f>IF(Input!B22="","",Input!B22)</f>
        <v>Jeruk Lemon</v>
      </c>
      <c r="C21" s="49">
        <f>IF(B21="","",MATCH(B21,PartsData!$1:$1,0))</f>
        <v>20</v>
      </c>
      <c r="D21" s="50">
        <f t="shared" ca="1" si="0"/>
        <v>10</v>
      </c>
    </row>
    <row r="22" spans="2:4" ht="17.25" thickTop="1" thickBot="1">
      <c r="B22" s="48" t="str">
        <f>IF(Input!B23="","",Input!B23)</f>
        <v>Kacang Bulu</v>
      </c>
      <c r="C22" s="49">
        <f>IF(B22="","",MATCH(B22,PartsData!$1:$1,0))</f>
        <v>21</v>
      </c>
      <c r="D22" s="50">
        <f t="shared" ca="1" si="0"/>
        <v>0</v>
      </c>
    </row>
    <row r="23" spans="2:4" ht="17.25" thickTop="1" thickBot="1">
      <c r="B23" s="48" t="str">
        <f>IF(Input!B24="","",Input!B24)</f>
        <v>Kacang Endul</v>
      </c>
      <c r="C23" s="49">
        <f>IF(B23="","",MATCH(B23,PartsData!$1:$1,0))</f>
        <v>22</v>
      </c>
      <c r="D23" s="50">
        <f t="shared" ca="1" si="0"/>
        <v>0</v>
      </c>
    </row>
    <row r="24" spans="2:4" ht="17.25" thickTop="1" thickBot="1">
      <c r="B24" s="48" t="str">
        <f>IF(Input!B25="","",Input!B25)</f>
        <v>Kacang Merah</v>
      </c>
      <c r="C24" s="49">
        <f>IF(B24="","",MATCH(B24,PartsData!$1:$1,0))</f>
        <v>23</v>
      </c>
      <c r="D24" s="50">
        <f t="shared" ca="1" si="0"/>
        <v>0</v>
      </c>
    </row>
    <row r="25" spans="2:4" ht="17.25" thickTop="1" thickBot="1">
      <c r="B25" s="48" t="str">
        <f>IF(Input!B26="","",Input!B26)</f>
        <v>Kacang Panjang</v>
      </c>
      <c r="C25" s="49">
        <f>IF(B25="","",MATCH(B25,PartsData!$1:$1,0))</f>
        <v>24</v>
      </c>
      <c r="D25" s="50">
        <f t="shared" ca="1" si="0"/>
        <v>0</v>
      </c>
    </row>
    <row r="26" spans="2:4" ht="17.25" thickTop="1" thickBot="1">
      <c r="B26" s="48" t="str">
        <f>IF(Input!B27="","",Input!B27)</f>
        <v>Kangkung</v>
      </c>
      <c r="C26" s="49">
        <f>IF(B26="","",MATCH(B26,PartsData!$1:$1,0))</f>
        <v>25</v>
      </c>
      <c r="D26" s="50">
        <f t="shared" ca="1" si="0"/>
        <v>0</v>
      </c>
    </row>
    <row r="27" spans="2:4" ht="17.25" thickTop="1" thickBot="1">
      <c r="B27" s="48" t="str">
        <f>IF(Input!B28="","",Input!B28)</f>
        <v>Kecipir</v>
      </c>
      <c r="C27" s="49">
        <f>IF(B27="","",MATCH(B27,PartsData!$1:$1,0))</f>
        <v>26</v>
      </c>
      <c r="D27" s="50">
        <f t="shared" ca="1" si="0"/>
        <v>0</v>
      </c>
    </row>
    <row r="28" spans="2:4" ht="17.25" thickTop="1" thickBot="1">
      <c r="B28" s="48" t="str">
        <f>IF(Input!B29="","",Input!B29)</f>
        <v>Kentang</v>
      </c>
      <c r="C28" s="49">
        <f>IF(B28="","",MATCH(B28,PartsData!$1:$1,0))</f>
        <v>27</v>
      </c>
      <c r="D28" s="50">
        <f t="shared" ca="1" si="0"/>
        <v>0</v>
      </c>
    </row>
    <row r="29" spans="2:4" ht="17.25" thickTop="1" thickBot="1">
      <c r="B29" s="48" t="str">
        <f>IF(Input!B30="","",Input!B30)</f>
        <v>Kiciwis</v>
      </c>
      <c r="C29" s="49">
        <f>IF(B29="","",MATCH(B29,PartsData!$1:$1,0))</f>
        <v>28</v>
      </c>
      <c r="D29" s="50">
        <f t="shared" ca="1" si="0"/>
        <v>1</v>
      </c>
    </row>
    <row r="30" spans="2:4" ht="17.25" thickTop="1" thickBot="1">
      <c r="B30" s="48" t="str">
        <f>IF(Input!B31="","",Input!B31)</f>
        <v>Kol</v>
      </c>
      <c r="C30" s="49">
        <f>IF(B30="","",MATCH(B30,PartsData!$1:$1,0))</f>
        <v>29</v>
      </c>
      <c r="D30" s="50">
        <f t="shared" ca="1" si="0"/>
        <v>0.25</v>
      </c>
    </row>
    <row r="31" spans="2:4" ht="17.25" thickTop="1" thickBot="1">
      <c r="B31" s="48" t="str">
        <f>IF(Input!B32="","",Input!B32)</f>
        <v>Kunyit</v>
      </c>
      <c r="C31" s="49">
        <f>IF(B31="","",MATCH(B31,PartsData!$1:$1,0))</f>
        <v>30</v>
      </c>
      <c r="D31" s="50">
        <f t="shared" ca="1" si="0"/>
        <v>3</v>
      </c>
    </row>
    <row r="32" spans="2:4" ht="17.25" thickTop="1" thickBot="1">
      <c r="B32" s="48" t="str">
        <f>IF(Input!B33="","",Input!B33)</f>
        <v>Labu Siam</v>
      </c>
      <c r="C32" s="49">
        <f>IF(B32="","",MATCH(B32,PartsData!$1:$1,0))</f>
        <v>31</v>
      </c>
      <c r="D32" s="50">
        <f t="shared" ca="1" si="0"/>
        <v>6</v>
      </c>
    </row>
    <row r="33" spans="2:4" ht="17.25" thickTop="1" thickBot="1">
      <c r="B33" s="48" t="str">
        <f>IF(Input!B34="","",Input!B34)</f>
        <v>Lengkuas</v>
      </c>
      <c r="C33" s="49">
        <f>IF(B33="","",MATCH(B33,PartsData!$1:$1,0))</f>
        <v>32</v>
      </c>
      <c r="D33" s="50">
        <f t="shared" ca="1" si="0"/>
        <v>4</v>
      </c>
    </row>
    <row r="34" spans="2:4" ht="17.25" thickTop="1" thickBot="1">
      <c r="B34" s="48" t="str">
        <f>IF(Input!B35="","",Input!B35)</f>
        <v>Mentimun</v>
      </c>
      <c r="C34" s="49">
        <f>IF(B34="","",MATCH(B34,PartsData!$1:$1,0))</f>
        <v>33</v>
      </c>
      <c r="D34" s="50">
        <f t="shared" ca="1" si="0"/>
        <v>0</v>
      </c>
    </row>
    <row r="35" spans="2:4" ht="17.25" thickTop="1" thickBot="1">
      <c r="B35" s="48" t="str">
        <f>IF(Input!B36="","",Input!B36)</f>
        <v>Nangka Muda</v>
      </c>
      <c r="C35" s="49">
        <f>IF(B35="","",MATCH(B35,PartsData!$1:$1,0))</f>
        <v>34</v>
      </c>
      <c r="D35" s="50">
        <f t="shared" ca="1" si="0"/>
        <v>0</v>
      </c>
    </row>
    <row r="36" spans="2:4" ht="17.25" thickTop="1" thickBot="1">
      <c r="B36" s="48" t="str">
        <f>IF(Input!B37="","",Input!B37)</f>
        <v>Pakcoy</v>
      </c>
      <c r="C36" s="49">
        <f>IF(B36="","",MATCH(B36,PartsData!$1:$1,0))</f>
        <v>35</v>
      </c>
      <c r="D36" s="50">
        <f t="shared" ca="1" si="0"/>
        <v>6</v>
      </c>
    </row>
    <row r="37" spans="2:4" ht="17.25" thickTop="1" thickBot="1">
      <c r="B37" s="48" t="str">
        <f>IF(Input!B38="","",Input!B38)</f>
        <v>Petsai</v>
      </c>
      <c r="C37" s="49">
        <f>IF(B37="","",MATCH(B37,PartsData!$1:$1,0))</f>
        <v>36</v>
      </c>
      <c r="D37" s="50">
        <f t="shared" ca="1" si="0"/>
        <v>0</v>
      </c>
    </row>
    <row r="38" spans="2:4" ht="17.25" thickTop="1" thickBot="1">
      <c r="B38" s="48" t="str">
        <f>IF(Input!B39="","",Input!B39)</f>
        <v>Selada Hijau</v>
      </c>
      <c r="C38" s="49">
        <f>IF(B38="","",MATCH(B38,PartsData!$1:$1,0))</f>
        <v>37</v>
      </c>
      <c r="D38" s="50">
        <f t="shared" ca="1" si="0"/>
        <v>4</v>
      </c>
    </row>
    <row r="39" spans="2:4" ht="17.25" thickTop="1" thickBot="1">
      <c r="B39" s="48" t="str">
        <f>IF(Input!B40="","",Input!B40)</f>
        <v>Selada Merah</v>
      </c>
      <c r="C39" s="49">
        <f>IF(B39="","",MATCH(B39,PartsData!$1:$1,0))</f>
        <v>38</v>
      </c>
      <c r="D39" s="50">
        <f t="shared" ca="1" si="0"/>
        <v>0</v>
      </c>
    </row>
    <row r="40" spans="2:4" ht="17.25" thickTop="1" thickBot="1">
      <c r="B40" s="48" t="str">
        <f>IF(Input!B41="","",Input!B41)</f>
        <v>Seledri</v>
      </c>
      <c r="C40" s="49">
        <f>IF(B40="","",MATCH(B40,PartsData!$1:$1,0))</f>
        <v>39</v>
      </c>
      <c r="D40" s="50">
        <f t="shared" ca="1" si="0"/>
        <v>1</v>
      </c>
    </row>
    <row r="41" spans="2:4" ht="17.25" thickTop="1" thickBot="1">
      <c r="B41" s="48" t="str">
        <f>IF(Input!B42="","",Input!B42)</f>
        <v>Sereh</v>
      </c>
      <c r="C41" s="49">
        <f>IF(B41="","",MATCH(B41,PartsData!$1:$1,0))</f>
        <v>40</v>
      </c>
      <c r="D41" s="50">
        <f t="shared" ca="1" si="0"/>
        <v>5</v>
      </c>
    </row>
    <row r="42" spans="2:4" ht="17.25" thickTop="1" thickBot="1">
      <c r="B42" s="48" t="str">
        <f>IF(Input!B43="","",Input!B43)</f>
        <v>Sosin</v>
      </c>
      <c r="C42" s="49">
        <f>IF(B42="","",MATCH(B42,PartsData!$1:$1,0))</f>
        <v>41</v>
      </c>
      <c r="D42" s="50">
        <f t="shared" ca="1" si="0"/>
        <v>6</v>
      </c>
    </row>
    <row r="43" spans="2:4" ht="17.25" thickTop="1" thickBot="1">
      <c r="B43" s="48" t="str">
        <f>IF(Input!B44="","",Input!B44)</f>
        <v>Tomat</v>
      </c>
      <c r="C43" s="49">
        <f>IF(B43="","",MATCH(B43,PartsData!$1:$1,0))</f>
        <v>42</v>
      </c>
      <c r="D43" s="50">
        <f t="shared" ca="1" si="0"/>
        <v>0</v>
      </c>
    </row>
    <row r="44" spans="2:4" ht="17.25" thickTop="1" thickBot="1">
      <c r="B44" s="48" t="str">
        <f>IF(Input!B45="","",Input!B45)</f>
        <v>Wortel</v>
      </c>
      <c r="C44" s="49">
        <f>IF(B44="","",MATCH(B44,PartsData!$1:$1,0))</f>
        <v>43</v>
      </c>
      <c r="D44" s="50">
        <f t="shared" ca="1" si="0"/>
        <v>5</v>
      </c>
    </row>
    <row r="45" spans="2:4" ht="16.5" thickTop="1">
      <c r="B45" t="str">
        <f>IF(Input!B46="","",Input!B46)</f>
        <v/>
      </c>
      <c r="C45" s="2" t="str">
        <f>IF(B45="","",MATCH(B45,PartsData!$1:$1,0))</f>
        <v/>
      </c>
      <c r="D45" s="46" t="str">
        <f t="shared" si="0"/>
        <v/>
      </c>
    </row>
    <row r="46" spans="2:4">
      <c r="B46" t="str">
        <f>IF(Input!B47="","",Input!B47)</f>
        <v/>
      </c>
      <c r="C46" s="2" t="str">
        <f>IF(B46="","",MATCH(B46,PartsData!$1:$1,0))</f>
        <v/>
      </c>
      <c r="D46" s="46" t="str">
        <f t="shared" si="0"/>
        <v/>
      </c>
    </row>
    <row r="47" spans="2:4">
      <c r="B47" t="str">
        <f>IF(Input!B48="","",Input!B48)</f>
        <v/>
      </c>
      <c r="C47" s="2" t="str">
        <f>IF(B47="","",MATCH(B47,PartsData!$1:$1,0))</f>
        <v/>
      </c>
      <c r="D47" s="46" t="str">
        <f t="shared" si="0"/>
        <v/>
      </c>
    </row>
    <row r="48" spans="2:4">
      <c r="B48" t="str">
        <f>IF(Input!B49="","",Input!B49)</f>
        <v/>
      </c>
      <c r="C48" s="2" t="str">
        <f>IF(B48="","",MATCH(B48,PartsData!$1:$1,0))</f>
        <v/>
      </c>
      <c r="D48" s="46" t="str">
        <f t="shared" si="0"/>
        <v/>
      </c>
    </row>
    <row r="49" spans="2:4">
      <c r="B49" t="str">
        <f>IF(Input!B50="","",Input!B50)</f>
        <v/>
      </c>
      <c r="C49" s="2" t="str">
        <f>IF(B49="","",MATCH(B49,PartsData!$1:$1,0))</f>
        <v/>
      </c>
      <c r="D49" s="46" t="str">
        <f t="shared" si="0"/>
        <v/>
      </c>
    </row>
    <row r="50" spans="2:4">
      <c r="B50" t="str">
        <f>IF(Input!B51="","",Input!B51)</f>
        <v/>
      </c>
      <c r="C50" s="2" t="str">
        <f>IF(B50="","",MATCH(B50,PartsData!$1:$1,0))</f>
        <v/>
      </c>
      <c r="D50" s="46" t="str">
        <f t="shared" si="0"/>
        <v/>
      </c>
    </row>
    <row r="51" spans="2:4">
      <c r="B51" t="str">
        <f>IF(Input!B52="","",Input!B52)</f>
        <v/>
      </c>
      <c r="C51" s="2" t="str">
        <f>IF(B51="","",MATCH(B51,PartsData!$1:$1,0))</f>
        <v/>
      </c>
      <c r="D51" s="46" t="str">
        <f t="shared" si="0"/>
        <v/>
      </c>
    </row>
    <row r="52" spans="2:4">
      <c r="B52" t="str">
        <f>IF(Input!B53="","",Input!B53)</f>
        <v/>
      </c>
      <c r="C52" s="2" t="str">
        <f>IF(B52="","",MATCH(B52,PartsData!$1:$1,0))</f>
        <v/>
      </c>
      <c r="D52" s="46" t="str">
        <f t="shared" si="0"/>
        <v/>
      </c>
    </row>
    <row r="53" spans="2:4">
      <c r="B53" t="str">
        <f>IF(Input!B54="","",Input!B54)</f>
        <v/>
      </c>
      <c r="C53" s="2" t="str">
        <f>IF(B53="","",MATCH(B53,PartsData!$1:$1,0))</f>
        <v/>
      </c>
      <c r="D53" s="46" t="str">
        <f t="shared" si="0"/>
        <v/>
      </c>
    </row>
    <row r="54" spans="2:4">
      <c r="B54" t="str">
        <f>IF(Input!B55="","",Input!B55)</f>
        <v/>
      </c>
      <c r="C54" s="2" t="str">
        <f>IF(B54="","",MATCH(B54,PartsData!$1:$1,0))</f>
        <v/>
      </c>
      <c r="D54" s="46" t="str">
        <f t="shared" si="0"/>
        <v/>
      </c>
    </row>
    <row r="55" spans="2:4">
      <c r="B55" t="str">
        <f>IF(Input!B56="","",Input!B56)</f>
        <v/>
      </c>
      <c r="C55" s="2" t="str">
        <f>IF(B55="","",MATCH(B55,PartsData!$1:$1,0))</f>
        <v/>
      </c>
      <c r="D55" s="46" t="str">
        <f t="shared" si="0"/>
        <v/>
      </c>
    </row>
    <row r="56" spans="2:4">
      <c r="B56" t="str">
        <f>IF(Input!B57="","",Input!B57)</f>
        <v/>
      </c>
      <c r="C56" s="2" t="str">
        <f>IF(B56="","",MATCH(B56,PartsData!$1:$1,0))</f>
        <v/>
      </c>
      <c r="D56" s="46" t="str">
        <f t="shared" si="0"/>
        <v/>
      </c>
    </row>
    <row r="57" spans="2:4">
      <c r="B57" t="str">
        <f>IF(Input!B58="","",Input!B58)</f>
        <v/>
      </c>
      <c r="C57" s="2" t="str">
        <f>IF(B57="","",MATCH(B57,PartsData!$1:$1,0))</f>
        <v/>
      </c>
      <c r="D57" s="46" t="str">
        <f t="shared" si="0"/>
        <v/>
      </c>
    </row>
    <row r="58" spans="2:4">
      <c r="B58" t="str">
        <f>IF(Input!B59="","",Input!B59)</f>
        <v/>
      </c>
      <c r="C58" s="2" t="str">
        <f>IF(B58="","",MATCH(B58,PartsData!$1:$1,0))</f>
        <v/>
      </c>
      <c r="D58" s="46" t="str">
        <f t="shared" si="0"/>
        <v/>
      </c>
    </row>
    <row r="59" spans="2:4">
      <c r="B59" t="str">
        <f>IF(Input!B60="","",Input!B60)</f>
        <v/>
      </c>
      <c r="C59" s="2" t="str">
        <f>IF(B59="","",MATCH(B59,PartsData!$1:$1,0))</f>
        <v/>
      </c>
      <c r="D59" s="46" t="str">
        <f t="shared" si="0"/>
        <v/>
      </c>
    </row>
    <row r="60" spans="2:4">
      <c r="B60" t="str">
        <f>IF(Input!B61="","",Input!B61)</f>
        <v/>
      </c>
      <c r="C60" s="2" t="str">
        <f>IF(B60="","",MATCH(B60,PartsData!$1:$1,0))</f>
        <v/>
      </c>
      <c r="D60" s="46" t="str">
        <f t="shared" si="0"/>
        <v/>
      </c>
    </row>
    <row r="61" spans="2:4">
      <c r="B61" t="str">
        <f>IF(Input!B62="","",Input!B62)</f>
        <v/>
      </c>
      <c r="C61" s="2" t="str">
        <f>IF(B61="","",MATCH(B61,PartsData!$1:$1,0))</f>
        <v/>
      </c>
      <c r="D61" s="46" t="str">
        <f t="shared" si="0"/>
        <v/>
      </c>
    </row>
    <row r="62" spans="2:4">
      <c r="B62" t="str">
        <f>IF(Input!B63="","",Input!B63)</f>
        <v/>
      </c>
      <c r="C62" s="2" t="str">
        <f>IF(B62="","",MATCH(B62,PartsData!$1:$1,0))</f>
        <v/>
      </c>
      <c r="D62" s="46" t="str">
        <f t="shared" si="0"/>
        <v/>
      </c>
    </row>
    <row r="63" spans="2:4">
      <c r="B63" t="str">
        <f>IF(Input!B64="","",Input!B64)</f>
        <v/>
      </c>
      <c r="C63" s="2" t="str">
        <f>IF(B63="","",MATCH(B63,PartsData!$1:$1,0))</f>
        <v/>
      </c>
      <c r="D63" s="46" t="str">
        <f t="shared" si="0"/>
        <v/>
      </c>
    </row>
    <row r="64" spans="2:4">
      <c r="B64" t="str">
        <f>IF(Input!B65="","",Input!B65)</f>
        <v/>
      </c>
      <c r="C64" s="2" t="str">
        <f>IF(B64="","",MATCH(B64,PartsData!$1:$1,0))</f>
        <v/>
      </c>
      <c r="D64" s="46" t="str">
        <f t="shared" si="0"/>
        <v/>
      </c>
    </row>
    <row r="65" spans="2:4">
      <c r="B65" t="str">
        <f>IF(Input!B66="","",Input!B66)</f>
        <v/>
      </c>
      <c r="C65" s="2" t="str">
        <f>IF(B65="","",MATCH(B65,PartsData!$1:$1,0))</f>
        <v/>
      </c>
      <c r="D65" s="46" t="str">
        <f t="shared" si="0"/>
        <v/>
      </c>
    </row>
    <row r="66" spans="2:4">
      <c r="B66" t="str">
        <f>IF(Input!B67="","",Input!B67)</f>
        <v/>
      </c>
      <c r="C66" s="2" t="str">
        <f>IF(B66="","",MATCH(B66,PartsData!$1:$1,0))</f>
        <v/>
      </c>
      <c r="D66" s="46" t="str">
        <f t="shared" si="0"/>
        <v/>
      </c>
    </row>
    <row r="67" spans="2:4">
      <c r="B67" t="str">
        <f>IF(Input!B68="","",Input!B68)</f>
        <v/>
      </c>
      <c r="C67" s="2" t="str">
        <f>IF(B67="","",MATCH(B67,PartsData!$1:$1,0))</f>
        <v/>
      </c>
      <c r="D67" s="46" t="str">
        <f t="shared" si="0"/>
        <v/>
      </c>
    </row>
    <row r="68" spans="2:4">
      <c r="B68" t="str">
        <f>IF(Input!B69="","",Input!B69)</f>
        <v/>
      </c>
      <c r="C68" s="2" t="str">
        <f>IF(B68="","",MATCH(B68,PartsData!$1:$1,0))</f>
        <v/>
      </c>
      <c r="D68" s="46" t="str">
        <f t="shared" ref="D68:D108" si="1">IF(B68="","",(IF(DB_Row=1,"",IF(INDEX(PartsDatabase,DB_Row,C68)="","",INDEX(PartsDatabase,DB_Row,C68)))))</f>
        <v/>
      </c>
    </row>
    <row r="69" spans="2:4">
      <c r="B69" t="str">
        <f>IF(Input!B70="","",Input!B70)</f>
        <v/>
      </c>
      <c r="C69" s="2" t="str">
        <f>IF(B69="","",MATCH(B69,PartsData!$1:$1,0))</f>
        <v/>
      </c>
      <c r="D69" s="46" t="str">
        <f t="shared" si="1"/>
        <v/>
      </c>
    </row>
    <row r="70" spans="2:4">
      <c r="B70" t="str">
        <f>IF(Input!B71="","",Input!B71)</f>
        <v/>
      </c>
      <c r="C70" s="2" t="str">
        <f>IF(B70="","",MATCH(B70,PartsData!$1:$1,0))</f>
        <v/>
      </c>
      <c r="D70" s="46" t="str">
        <f t="shared" si="1"/>
        <v/>
      </c>
    </row>
    <row r="71" spans="2:4">
      <c r="B71" t="str">
        <f>IF(Input!B72="","",Input!B72)</f>
        <v/>
      </c>
      <c r="C71" s="2" t="str">
        <f>IF(B71="","",MATCH(B71,PartsData!$1:$1,0))</f>
        <v/>
      </c>
      <c r="D71" s="46" t="str">
        <f t="shared" si="1"/>
        <v/>
      </c>
    </row>
    <row r="72" spans="2:4">
      <c r="B72" t="str">
        <f>IF(Input!B73="","",Input!B73)</f>
        <v/>
      </c>
      <c r="C72" s="2" t="str">
        <f>IF(B72="","",MATCH(B72,PartsData!$1:$1,0))</f>
        <v/>
      </c>
      <c r="D72" s="46" t="str">
        <f t="shared" si="1"/>
        <v/>
      </c>
    </row>
    <row r="73" spans="2:4">
      <c r="B73" t="str">
        <f>IF(Input!B74="","",Input!B74)</f>
        <v/>
      </c>
      <c r="C73" s="2" t="str">
        <f>IF(B73="","",MATCH(B73,PartsData!$1:$1,0))</f>
        <v/>
      </c>
      <c r="D73" s="46" t="str">
        <f t="shared" si="1"/>
        <v/>
      </c>
    </row>
    <row r="74" spans="2:4">
      <c r="B74" t="str">
        <f>IF(Input!B75="","",Input!B75)</f>
        <v/>
      </c>
      <c r="C74" s="2" t="str">
        <f>IF(B74="","",MATCH(B74,PartsData!$1:$1,0))</f>
        <v/>
      </c>
      <c r="D74" s="46" t="str">
        <f t="shared" si="1"/>
        <v/>
      </c>
    </row>
    <row r="75" spans="2:4">
      <c r="B75" t="str">
        <f>IF(Input!B76="","",Input!B76)</f>
        <v/>
      </c>
      <c r="C75" s="2" t="str">
        <f>IF(B75="","",MATCH(B75,PartsData!$1:$1,0))</f>
        <v/>
      </c>
      <c r="D75" s="46" t="str">
        <f t="shared" si="1"/>
        <v/>
      </c>
    </row>
    <row r="76" spans="2:4">
      <c r="B76" t="str">
        <f>IF(Input!B77="","",Input!B77)</f>
        <v/>
      </c>
      <c r="C76" s="2" t="str">
        <f>IF(B76="","",MATCH(B76,PartsData!$1:$1,0))</f>
        <v/>
      </c>
      <c r="D76" s="46" t="str">
        <f t="shared" si="1"/>
        <v/>
      </c>
    </row>
    <row r="77" spans="2:4">
      <c r="B77" t="str">
        <f>IF(Input!B78="","",Input!B78)</f>
        <v/>
      </c>
      <c r="C77" s="2" t="str">
        <f>IF(B77="","",MATCH(B77,PartsData!$1:$1,0))</f>
        <v/>
      </c>
      <c r="D77" s="46" t="str">
        <f t="shared" si="1"/>
        <v/>
      </c>
    </row>
    <row r="78" spans="2:4">
      <c r="B78" t="str">
        <f>IF(Input!B79="","",Input!B79)</f>
        <v/>
      </c>
      <c r="C78" s="2" t="str">
        <f>IF(B78="","",MATCH(B78,PartsData!$1:$1,0))</f>
        <v/>
      </c>
      <c r="D78" s="46" t="str">
        <f t="shared" si="1"/>
        <v/>
      </c>
    </row>
    <row r="79" spans="2:4">
      <c r="B79" t="str">
        <f>IF(Input!B80="","",Input!B80)</f>
        <v/>
      </c>
      <c r="C79" s="2" t="str">
        <f>IF(B79="","",MATCH(B79,PartsData!$1:$1,0))</f>
        <v/>
      </c>
      <c r="D79" s="46" t="str">
        <f t="shared" si="1"/>
        <v/>
      </c>
    </row>
    <row r="80" spans="2:4">
      <c r="B80" t="str">
        <f>IF(Input!B81="","",Input!B81)</f>
        <v/>
      </c>
      <c r="C80" s="2" t="str">
        <f>IF(B80="","",MATCH(B80,PartsData!$1:$1,0))</f>
        <v/>
      </c>
      <c r="D80" s="46" t="str">
        <f t="shared" si="1"/>
        <v/>
      </c>
    </row>
    <row r="81" spans="2:4">
      <c r="B81" t="str">
        <f>IF(Input!B82="","",Input!B82)</f>
        <v/>
      </c>
      <c r="C81" s="2" t="str">
        <f>IF(B81="","",MATCH(B81,PartsData!$1:$1,0))</f>
        <v/>
      </c>
      <c r="D81" s="46" t="str">
        <f t="shared" si="1"/>
        <v/>
      </c>
    </row>
    <row r="82" spans="2:4">
      <c r="B82" t="str">
        <f>IF(Input!B83="","",Input!B83)</f>
        <v/>
      </c>
      <c r="C82" s="2" t="str">
        <f>IF(B82="","",MATCH(B82,PartsData!$1:$1,0))</f>
        <v/>
      </c>
      <c r="D82" s="46" t="str">
        <f t="shared" si="1"/>
        <v/>
      </c>
    </row>
    <row r="83" spans="2:4">
      <c r="B83" t="str">
        <f>IF(Input!B84="","",Input!B84)</f>
        <v/>
      </c>
      <c r="C83" s="2" t="str">
        <f>IF(B83="","",MATCH(B83,PartsData!$1:$1,0))</f>
        <v/>
      </c>
      <c r="D83" s="46" t="str">
        <f t="shared" si="1"/>
        <v/>
      </c>
    </row>
    <row r="84" spans="2:4">
      <c r="B84" t="str">
        <f>IF(Input!B85="","",Input!B85)</f>
        <v/>
      </c>
      <c r="C84" s="2" t="str">
        <f>IF(B84="","",MATCH(B84,PartsData!$1:$1,0))</f>
        <v/>
      </c>
      <c r="D84" s="46" t="str">
        <f t="shared" si="1"/>
        <v/>
      </c>
    </row>
    <row r="85" spans="2:4">
      <c r="B85" t="str">
        <f>IF(Input!B86="","",Input!B86)</f>
        <v/>
      </c>
      <c r="C85" s="2" t="str">
        <f>IF(B85="","",MATCH(B85,PartsData!$1:$1,0))</f>
        <v/>
      </c>
      <c r="D85" s="46" t="str">
        <f t="shared" si="1"/>
        <v/>
      </c>
    </row>
    <row r="86" spans="2:4">
      <c r="B86" t="str">
        <f>IF(Input!B87="","",Input!B87)</f>
        <v/>
      </c>
      <c r="C86" s="2" t="str">
        <f>IF(B86="","",MATCH(B86,PartsData!$1:$1,0))</f>
        <v/>
      </c>
      <c r="D86" s="46" t="str">
        <f t="shared" si="1"/>
        <v/>
      </c>
    </row>
    <row r="87" spans="2:4">
      <c r="B87" t="str">
        <f>IF(Input!B88="","",Input!B88)</f>
        <v/>
      </c>
      <c r="C87" s="2" t="str">
        <f>IF(B87="","",MATCH(B87,PartsData!$1:$1,0))</f>
        <v/>
      </c>
      <c r="D87" s="46" t="str">
        <f t="shared" si="1"/>
        <v/>
      </c>
    </row>
    <row r="88" spans="2:4">
      <c r="B88" t="str">
        <f>IF(Input!B89="","",Input!B89)</f>
        <v/>
      </c>
      <c r="C88" s="2" t="str">
        <f>IF(B88="","",MATCH(B88,PartsData!$1:$1,0))</f>
        <v/>
      </c>
      <c r="D88" s="46" t="str">
        <f t="shared" si="1"/>
        <v/>
      </c>
    </row>
    <row r="89" spans="2:4">
      <c r="B89" t="str">
        <f>IF(Input!B90="","",Input!B90)</f>
        <v/>
      </c>
      <c r="C89" s="2" t="str">
        <f>IF(B89="","",MATCH(B89,PartsData!$1:$1,0))</f>
        <v/>
      </c>
      <c r="D89" s="46" t="str">
        <f t="shared" si="1"/>
        <v/>
      </c>
    </row>
    <row r="90" spans="2:4">
      <c r="B90" t="str">
        <f>IF(Input!B91="","",Input!B91)</f>
        <v/>
      </c>
      <c r="C90" s="2" t="str">
        <f>IF(B90="","",MATCH(B90,PartsData!$1:$1,0))</f>
        <v/>
      </c>
      <c r="D90" s="46" t="str">
        <f t="shared" si="1"/>
        <v/>
      </c>
    </row>
    <row r="91" spans="2:4">
      <c r="B91" t="str">
        <f>IF(Input!B92="","",Input!B92)</f>
        <v/>
      </c>
      <c r="C91" s="2" t="str">
        <f>IF(B91="","",MATCH(B91,PartsData!$1:$1,0))</f>
        <v/>
      </c>
      <c r="D91" s="46" t="str">
        <f t="shared" si="1"/>
        <v/>
      </c>
    </row>
    <row r="92" spans="2:4">
      <c r="B92" t="str">
        <f>IF(Input!B93="","",Input!B93)</f>
        <v/>
      </c>
      <c r="C92" s="2" t="str">
        <f>IF(B92="","",MATCH(B92,PartsData!$1:$1,0))</f>
        <v/>
      </c>
      <c r="D92" s="46" t="str">
        <f t="shared" si="1"/>
        <v/>
      </c>
    </row>
    <row r="93" spans="2:4">
      <c r="B93" t="str">
        <f>IF(Input!B94="","",Input!B94)</f>
        <v/>
      </c>
      <c r="C93" s="2" t="str">
        <f>IF(B93="","",MATCH(B93,PartsData!$1:$1,0))</f>
        <v/>
      </c>
      <c r="D93" s="46" t="str">
        <f t="shared" si="1"/>
        <v/>
      </c>
    </row>
    <row r="94" spans="2:4">
      <c r="B94" t="str">
        <f>IF(Input!B95="","",Input!B95)</f>
        <v/>
      </c>
      <c r="C94" s="2" t="str">
        <f>IF(B94="","",MATCH(B94,PartsData!$1:$1,0))</f>
        <v/>
      </c>
      <c r="D94" s="46" t="str">
        <f t="shared" si="1"/>
        <v/>
      </c>
    </row>
    <row r="95" spans="2:4">
      <c r="B95" t="str">
        <f>IF(Input!B96="","",Input!B96)</f>
        <v/>
      </c>
      <c r="C95" s="2" t="str">
        <f>IF(B95="","",MATCH(B95,PartsData!$1:$1,0))</f>
        <v/>
      </c>
      <c r="D95" s="46" t="str">
        <f t="shared" si="1"/>
        <v/>
      </c>
    </row>
    <row r="96" spans="2:4">
      <c r="B96" t="str">
        <f>IF(Input!B97="","",Input!B97)</f>
        <v/>
      </c>
      <c r="C96" s="2" t="str">
        <f>IF(B96="","",MATCH(B96,PartsData!$1:$1,0))</f>
        <v/>
      </c>
      <c r="D96" s="46" t="str">
        <f t="shared" si="1"/>
        <v/>
      </c>
    </row>
    <row r="97" spans="2:4">
      <c r="B97" t="str">
        <f>IF(Input!B98="","",Input!B98)</f>
        <v/>
      </c>
      <c r="C97" s="2" t="str">
        <f>IF(B97="","",MATCH(B97,PartsData!$1:$1,0))</f>
        <v/>
      </c>
      <c r="D97" s="46" t="str">
        <f t="shared" si="1"/>
        <v/>
      </c>
    </row>
    <row r="98" spans="2:4">
      <c r="B98" t="str">
        <f>IF(Input!B99="","",Input!B99)</f>
        <v/>
      </c>
      <c r="C98" s="2" t="str">
        <f>IF(B98="","",MATCH(B98,PartsData!$1:$1,0))</f>
        <v/>
      </c>
      <c r="D98" s="46" t="str">
        <f t="shared" si="1"/>
        <v/>
      </c>
    </row>
    <row r="99" spans="2:4">
      <c r="B99" t="str">
        <f>IF(Input!B100="","",Input!B100)</f>
        <v/>
      </c>
      <c r="C99" s="2" t="str">
        <f>IF(B99="","",MATCH(B99,PartsData!$1:$1,0))</f>
        <v/>
      </c>
      <c r="D99" s="46" t="str">
        <f t="shared" si="1"/>
        <v/>
      </c>
    </row>
    <row r="100" spans="2:4">
      <c r="B100" t="str">
        <f>IF(Input!B101="","",Input!B101)</f>
        <v/>
      </c>
      <c r="C100" s="2" t="str">
        <f>IF(B100="","",MATCH(B100,PartsData!$1:$1,0))</f>
        <v/>
      </c>
      <c r="D100" s="46" t="str">
        <f t="shared" si="1"/>
        <v/>
      </c>
    </row>
    <row r="101" spans="2:4">
      <c r="B101" t="str">
        <f>IF(Input!B102="","",Input!B102)</f>
        <v/>
      </c>
      <c r="C101" s="2" t="str">
        <f>IF(B101="","",MATCH(B101,PartsData!$1:$1,0))</f>
        <v/>
      </c>
      <c r="D101" s="46" t="str">
        <f t="shared" si="1"/>
        <v/>
      </c>
    </row>
    <row r="102" spans="2:4">
      <c r="B102" t="str">
        <f>IF(Input!B103="","",Input!B103)</f>
        <v/>
      </c>
      <c r="C102" s="2" t="str">
        <f>IF(B102="","",MATCH(B102,PartsData!$1:$1,0))</f>
        <v/>
      </c>
      <c r="D102" s="46" t="str">
        <f t="shared" si="1"/>
        <v/>
      </c>
    </row>
    <row r="103" spans="2:4">
      <c r="B103" t="str">
        <f>IF(Input!B104="","",Input!B104)</f>
        <v/>
      </c>
      <c r="C103" s="2" t="str">
        <f>IF(B103="","",MATCH(B103,PartsData!$1:$1,0))</f>
        <v/>
      </c>
      <c r="D103" s="46" t="str">
        <f t="shared" si="1"/>
        <v/>
      </c>
    </row>
    <row r="104" spans="2:4">
      <c r="B104" t="str">
        <f>IF(Input!B105="","",Input!B105)</f>
        <v/>
      </c>
      <c r="C104" s="2" t="str">
        <f>IF(B104="","",MATCH(B104,PartsData!$1:$1,0))</f>
        <v/>
      </c>
      <c r="D104" s="46" t="str">
        <f t="shared" si="1"/>
        <v/>
      </c>
    </row>
    <row r="105" spans="2:4">
      <c r="B105" t="str">
        <f>IF(Input!B106="","",Input!B106)</f>
        <v/>
      </c>
      <c r="C105" s="2" t="str">
        <f>IF(B105="","",MATCH(B105,PartsData!$1:$1,0))</f>
        <v/>
      </c>
      <c r="D105" s="46" t="str">
        <f t="shared" si="1"/>
        <v/>
      </c>
    </row>
    <row r="106" spans="2:4">
      <c r="B106" t="str">
        <f>IF(Input!B107="","",Input!B107)</f>
        <v/>
      </c>
      <c r="C106" s="2" t="str">
        <f>IF(B106="","",MATCH(B106,PartsData!$1:$1,0))</f>
        <v/>
      </c>
      <c r="D106" s="46" t="str">
        <f t="shared" si="1"/>
        <v/>
      </c>
    </row>
    <row r="107" spans="2:4">
      <c r="B107" t="str">
        <f>IF(Input!B108="","",Input!B108)</f>
        <v/>
      </c>
      <c r="C107" s="2" t="str">
        <f>IF(B107="","",MATCH(B107,PartsData!$1:$1,0))</f>
        <v/>
      </c>
      <c r="D107" s="46" t="str">
        <f t="shared" si="1"/>
        <v/>
      </c>
    </row>
    <row r="108" spans="2:4">
      <c r="B108" t="str">
        <f>IF(Input!B109="","",Input!B109)</f>
        <v/>
      </c>
      <c r="C108" s="2" t="str">
        <f>IF(B108="","",MATCH(B108,PartsData!$1:$1,0))</f>
        <v/>
      </c>
      <c r="D108" s="46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Input</vt:lpstr>
      <vt:lpstr>PartsData</vt:lpstr>
      <vt:lpstr>InputLinks</vt:lpstr>
      <vt:lpstr>SelRecordLinks</vt:lpstr>
      <vt:lpstr>CheckID</vt:lpstr>
      <vt:lpstr>CurrRec</vt:lpstr>
      <vt:lpstr>DB_Row</vt:lpstr>
      <vt:lpstr>InputA</vt:lpstr>
      <vt:lpstr>InputCopy</vt:lpstr>
      <vt:lpstr>MandFields</vt:lpstr>
      <vt:lpstr>OrderEntry</vt:lpstr>
      <vt:lpstr>OrderID</vt:lpstr>
      <vt:lpstr>OrderSel</vt:lpstr>
      <vt:lpstr>SelRec</vt:lpstr>
      <vt:lpstr>SelValA</vt:lpstr>
      <vt:lpstr>SelValB</vt:lpstr>
      <vt:lpstr>StartCol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User</cp:lastModifiedBy>
  <cp:lastPrinted>2009-11-05T16:10:15Z</cp:lastPrinted>
  <dcterms:created xsi:type="dcterms:W3CDTF">2003-08-10T01:51:48Z</dcterms:created>
  <dcterms:modified xsi:type="dcterms:W3CDTF">2018-02-12T00:51:42Z</dcterms:modified>
</cp:coreProperties>
</file>